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p\Desktop\Data Analytics\"/>
    </mc:Choice>
  </mc:AlternateContent>
  <xr:revisionPtr revIDLastSave="0" documentId="13_ncr:1_{B25CA5C4-96EE-447C-858E-9D710877A277}" xr6:coauthVersionLast="47" xr6:coauthVersionMax="47" xr10:uidLastSave="{00000000-0000-0000-0000-000000000000}"/>
  <bookViews>
    <workbookView xWindow="-120" yWindow="-120" windowWidth="20730" windowHeight="11160" activeTab="2" xr2:uid="{D1BF88A2-BC0E-4BC3-899E-FACEE3B96727}"/>
  </bookViews>
  <sheets>
    <sheet name="Sheet1" sheetId="1" r:id="rId1"/>
    <sheet name="Sheet2" sheetId="2" r:id="rId2"/>
    <sheet name="Sheet3" sheetId="3" r:id="rId3"/>
    <sheet name="Sheet4" sheetId="6" r:id="rId4"/>
    <sheet name="Sheet5" sheetId="8" r:id="rId5"/>
  </sheets>
  <definedNames>
    <definedName name="_xlnm._FilterDatabase" localSheetId="1" hidden="1">Sheet2!$C$36:$C$56</definedName>
    <definedName name="Slicer_Product">#N/A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3" i="1" l="1"/>
  <c r="F82" i="1"/>
  <c r="F81" i="1"/>
  <c r="F80" i="1"/>
  <c r="F79" i="1"/>
  <c r="F78" i="1"/>
  <c r="F77" i="1"/>
  <c r="F76" i="1"/>
  <c r="F75" i="1"/>
  <c r="F74" i="1"/>
  <c r="F73" i="1"/>
  <c r="F72" i="1"/>
  <c r="F71" i="1"/>
  <c r="F70" i="1"/>
  <c r="F69" i="1"/>
  <c r="F68" i="1"/>
  <c r="F67" i="1"/>
  <c r="F66" i="1"/>
  <c r="F65" i="1"/>
  <c r="F64" i="1"/>
  <c r="F59" i="1"/>
  <c r="F58" i="1"/>
  <c r="F57" i="1"/>
  <c r="F56" i="1"/>
  <c r="F55" i="1"/>
  <c r="F54" i="1"/>
  <c r="F53" i="1"/>
  <c r="F52" i="1"/>
  <c r="F51" i="1"/>
  <c r="F50" i="1"/>
  <c r="F49" i="1"/>
  <c r="F48" i="1"/>
  <c r="F47" i="1"/>
  <c r="F46" i="1"/>
  <c r="F45" i="1"/>
  <c r="F44" i="1"/>
  <c r="F43" i="1"/>
  <c r="F42" i="1"/>
  <c r="F41" i="1"/>
  <c r="F40" i="1"/>
</calcChain>
</file>

<file path=xl/sharedStrings.xml><?xml version="1.0" encoding="utf-8"?>
<sst xmlns="http://schemas.openxmlformats.org/spreadsheetml/2006/main" count="325" uniqueCount="115">
  <si>
    <t>Q.1</t>
  </si>
  <si>
    <t>What is the purpose of a PivotTable in Excel?</t>
  </si>
  <si>
    <t>Ans.</t>
  </si>
  <si>
    <r>
      <t xml:space="preserve">A </t>
    </r>
    <r>
      <rPr>
        <b/>
        <sz val="11"/>
        <color theme="1"/>
        <rFont val="Calibri"/>
        <family val="2"/>
        <scheme val="minor"/>
      </rPr>
      <t>PivotTable in Excel</t>
    </r>
    <r>
      <rPr>
        <sz val="11"/>
        <color theme="1"/>
        <rFont val="Calibri"/>
        <family val="2"/>
        <scheme val="minor"/>
      </rPr>
      <t xml:space="preserve"> is used to </t>
    </r>
    <r>
      <rPr>
        <b/>
        <sz val="11"/>
        <color theme="1"/>
        <rFont val="Calibri"/>
        <family val="2"/>
        <scheme val="minor"/>
      </rPr>
      <t>summarize, analyze, explore, and present large amounts of data quickly and easily</t>
    </r>
    <r>
      <rPr>
        <sz val="11"/>
        <color theme="1"/>
        <rFont val="Calibri"/>
        <family val="2"/>
        <scheme val="minor"/>
      </rPr>
      <t xml:space="preserve"> without changing the original dataset.</t>
    </r>
  </si>
  <si>
    <t>Purpose of a PivotTable</t>
  </si>
  <si>
    <t>1. Summarize large datasets</t>
  </si>
  <si>
    <t>Calculate totals, averages, counts, minimums, maximums, etc.</t>
  </si>
  <si>
    <t>Example: Total sales by product or region.</t>
  </si>
  <si>
    <t>2. Analyze data from different perspectives</t>
  </si>
  <si>
    <t>Drag and drop fields to rearrange data instantly.</t>
  </si>
  <si>
    <t>View data by product, date, customer, or region.</t>
  </si>
  <si>
    <t>3. Group and categorize data</t>
  </si>
  <si>
    <t>Group dates (by month, quarter, year).</t>
  </si>
  <si>
    <t>Combine items (e.g., Apples + Oranges → Fruits).</t>
  </si>
  <si>
    <t>4. Compare values</t>
  </si>
  <si>
    <t>Compare sales between products, regions, or time periods.</t>
  </si>
  <si>
    <t>Identify trends and patterns.</t>
  </si>
  <si>
    <t>5. Create quick reports</t>
  </si>
  <si>
    <t>Generate clean, readable summaries for decision-making.</t>
  </si>
  <si>
    <t>No formulas required once the PivotTable is set up.</t>
  </si>
  <si>
    <t>6. Filter and drill down</t>
  </si>
  <si>
    <t>Apply filters or slicers to focus on specific data.</t>
  </si>
  <si>
    <t>Double-click values to see detailed underlying records.</t>
  </si>
  <si>
    <t>Example</t>
  </si>
  <si>
    <t>You can use a PivotTable to:</t>
  </si>
  <si>
    <r>
      <t xml:space="preserve">Show </t>
    </r>
    <r>
      <rPr>
        <b/>
        <sz val="11"/>
        <color theme="1"/>
        <rFont val="Calibri"/>
        <family val="2"/>
        <scheme val="minor"/>
      </rPr>
      <t>total sales by product</t>
    </r>
  </si>
  <si>
    <r>
      <t xml:space="preserve">Compare </t>
    </r>
    <r>
      <rPr>
        <b/>
        <sz val="11"/>
        <color theme="1"/>
        <rFont val="Calibri"/>
        <family val="2"/>
        <scheme val="minor"/>
      </rPr>
      <t>region-wise performance</t>
    </r>
  </si>
  <si>
    <r>
      <t xml:space="preserve">Analyze </t>
    </r>
    <r>
      <rPr>
        <b/>
        <sz val="11"/>
        <color theme="1"/>
        <rFont val="Calibri"/>
        <family val="2"/>
        <scheme val="minor"/>
      </rPr>
      <t>monthly or yearly trends</t>
    </r>
  </si>
  <si>
    <t>Q.2</t>
  </si>
  <si>
    <t>Date</t>
  </si>
  <si>
    <t>Region</t>
  </si>
  <si>
    <t>Product</t>
  </si>
  <si>
    <t>Sales</t>
  </si>
  <si>
    <t>Quantity</t>
  </si>
  <si>
    <t>West</t>
  </si>
  <si>
    <t>Mangoes</t>
  </si>
  <si>
    <t>South</t>
  </si>
  <si>
    <t>Oranges</t>
  </si>
  <si>
    <t>Apples</t>
  </si>
  <si>
    <t>East</t>
  </si>
  <si>
    <t>North</t>
  </si>
  <si>
    <t>Total Sales</t>
  </si>
  <si>
    <t>Row Labels</t>
  </si>
  <si>
    <t>Grand Total</t>
  </si>
  <si>
    <t>Sum of Total Sales</t>
  </si>
  <si>
    <t>Create a PivotTable to show Total Sales by Region.</t>
  </si>
  <si>
    <t>Q.3</t>
  </si>
  <si>
    <t>Apply Conditional Formatting to highlight sales greater than 400</t>
  </si>
  <si>
    <t>Q.4</t>
  </si>
  <si>
    <t>Explain the difference between Sorting and Filtering with an example from this dataset.</t>
  </si>
  <si>
    <t>Ans</t>
  </si>
  <si>
    <r>
      <t>Sorting</t>
    </r>
    <r>
      <rPr>
        <sz val="11"/>
        <color theme="1"/>
        <rFont val="Calibri"/>
        <family val="2"/>
        <scheme val="minor"/>
      </rPr>
      <t xml:space="preserve"> means </t>
    </r>
    <r>
      <rPr>
        <b/>
        <sz val="11"/>
        <color theme="1"/>
        <rFont val="Calibri"/>
        <family val="2"/>
        <scheme val="minor"/>
      </rPr>
      <t>rearranging all the rows</t>
    </r>
    <r>
      <rPr>
        <sz val="11"/>
        <color theme="1"/>
        <rFont val="Calibri"/>
        <family val="2"/>
        <scheme val="minor"/>
      </rPr>
      <t xml:space="preserve"> in the dataset based on a selected column, either in </t>
    </r>
    <r>
      <rPr>
        <b/>
        <sz val="11"/>
        <color theme="1"/>
        <rFont val="Calibri"/>
        <family val="2"/>
        <scheme val="minor"/>
      </rPr>
      <t>ascending or descending order</t>
    </r>
    <r>
      <rPr>
        <sz val="11"/>
        <color theme="1"/>
        <rFont val="Calibri"/>
        <family val="2"/>
        <scheme val="minor"/>
      </rPr>
      <t>.</t>
    </r>
  </si>
  <si>
    <r>
      <t xml:space="preserve">👉 </t>
    </r>
    <r>
      <rPr>
        <b/>
        <sz val="11"/>
        <color theme="1"/>
        <rFont val="Calibri"/>
        <family val="2"/>
        <scheme val="minor"/>
      </rPr>
      <t>No data is removed</t>
    </r>
    <r>
      <rPr>
        <sz val="11"/>
        <color theme="1"/>
        <rFont val="Calibri"/>
        <family val="2"/>
        <scheme val="minor"/>
      </rPr>
      <t>, only the order changes.</t>
    </r>
  </si>
  <si>
    <t>Example (Sorting by Sales – Highest to Lowest)</t>
  </si>
  <si>
    <r>
      <t xml:space="preserve">If you </t>
    </r>
    <r>
      <rPr>
        <b/>
        <sz val="11"/>
        <color theme="1"/>
        <rFont val="Calibri"/>
        <family val="2"/>
        <scheme val="minor"/>
      </rPr>
      <t>sort the Sales column in descending order</t>
    </r>
    <r>
      <rPr>
        <sz val="11"/>
        <color theme="1"/>
        <rFont val="Calibri"/>
        <family val="2"/>
        <scheme val="minor"/>
      </rPr>
      <t>, the rows will be rearranged like:</t>
    </r>
  </si>
  <si>
    <t>✔ All records are still visible</t>
  </si>
  <si>
    <t>✔ Only the order has changed</t>
  </si>
  <si>
    <r>
      <t>iltering</t>
    </r>
    <r>
      <rPr>
        <sz val="11"/>
        <color theme="1"/>
        <rFont val="Calibri"/>
        <family val="2"/>
        <scheme val="minor"/>
      </rPr>
      <t xml:space="preserve"> means </t>
    </r>
    <r>
      <rPr>
        <b/>
        <sz val="11"/>
        <color theme="1"/>
        <rFont val="Calibri"/>
        <family val="2"/>
        <scheme val="minor"/>
      </rPr>
      <t>showing only the rows that meet specific conditions</t>
    </r>
    <r>
      <rPr>
        <sz val="11"/>
        <color theme="1"/>
        <rFont val="Calibri"/>
        <family val="2"/>
        <scheme val="minor"/>
      </rPr>
      <t xml:space="preserve"> and hiding the rest.</t>
    </r>
  </si>
  <si>
    <r>
      <t xml:space="preserve">👉 The order usually stays the same, but </t>
    </r>
    <r>
      <rPr>
        <b/>
        <sz val="11"/>
        <color theme="1"/>
        <rFont val="Calibri"/>
        <family val="2"/>
        <scheme val="minor"/>
      </rPr>
      <t>some rows are hidden</t>
    </r>
  </si>
  <si>
    <t>Apples and Oranges rows are hidden</t>
  </si>
  <si>
    <t>✔ Only matching records are shown</t>
  </si>
  <si>
    <t>Jan</t>
  </si>
  <si>
    <t>Feb</t>
  </si>
  <si>
    <t>Mar</t>
  </si>
  <si>
    <t>Apr</t>
  </si>
  <si>
    <t>May</t>
  </si>
  <si>
    <t>Jun</t>
  </si>
  <si>
    <t>Sum of Sales</t>
  </si>
  <si>
    <t>Q.5</t>
  </si>
  <si>
    <t>Create a PivotChart showing Monthly Sales Trend.</t>
  </si>
  <si>
    <t>Q.7</t>
  </si>
  <si>
    <t>Why are Dashboards important for decision-making in business analysis?</t>
  </si>
  <si>
    <t>that decision-makers can understand at a glance.</t>
  </si>
  <si>
    <r>
      <t xml:space="preserve">Dashboards are important for decision-making in business analysis because they </t>
    </r>
    <r>
      <rPr>
        <b/>
        <sz val="11"/>
        <color theme="1"/>
        <rFont val="Calibri"/>
        <family val="2"/>
        <scheme val="minor"/>
      </rPr>
      <t>turn raw data into clear, actionable insights</t>
    </r>
  </si>
  <si>
    <t>Quick, Real-Time Insights</t>
  </si>
  <si>
    <r>
      <t xml:space="preserve">Dashboards show </t>
    </r>
    <r>
      <rPr>
        <b/>
        <sz val="11"/>
        <color theme="1"/>
        <rFont val="Calibri"/>
        <family val="2"/>
        <scheme val="minor"/>
      </rPr>
      <t>key performance indicators (KPIs)</t>
    </r>
    <r>
      <rPr>
        <sz val="11"/>
        <color theme="1"/>
        <rFont val="Calibri"/>
        <family val="2"/>
        <scheme val="minor"/>
      </rPr>
      <t xml:space="preserve"> such as Sales, Profit, Growth, or Quantity in one place.</t>
    </r>
  </si>
  <si>
    <t>Managers don’t need to dig through spreadsheets</t>
  </si>
  <si>
    <t>Faster decisions based on current data</t>
  </si>
  <si>
    <t>Better Data Visualization</t>
  </si>
  <si>
    <t>Charts, graphs, and indicators make patterns easy to spot:</t>
  </si>
  <si>
    <t>Sales trends over time</t>
  </si>
  <si>
    <t>Top-performing products or regions</t>
  </si>
  <si>
    <t>Sudden drops or spikes in performance</t>
  </si>
  <si>
    <t>Improved Decision Accuracy</t>
  </si>
  <si>
    <t>By combining multiple metrics:</t>
  </si>
  <si>
    <r>
      <t xml:space="preserve">Decisions are </t>
    </r>
    <r>
      <rPr>
        <b/>
        <sz val="11"/>
        <color theme="1"/>
        <rFont val="Calibri"/>
        <family val="2"/>
        <scheme val="minor"/>
      </rPr>
      <t>data-driven</t>
    </r>
    <r>
      <rPr>
        <sz val="11"/>
        <color theme="1"/>
        <rFont val="Calibri"/>
        <family val="2"/>
        <scheme val="minor"/>
      </rPr>
      <t>, not based on assumptions</t>
    </r>
  </si>
  <si>
    <t>Reduces risk and bias</t>
  </si>
  <si>
    <t>Helps compare actual performance vs targets</t>
  </si>
  <si>
    <t>Interactive Analysis</t>
  </si>
  <si>
    <r>
      <t xml:space="preserve">Dashboards often include </t>
    </r>
    <r>
      <rPr>
        <b/>
        <sz val="11"/>
        <color theme="1"/>
        <rFont val="Calibri"/>
        <family val="2"/>
        <scheme val="minor"/>
      </rPr>
      <t>filters and slicers</t>
    </r>
    <r>
      <rPr>
        <sz val="11"/>
        <color theme="1"/>
        <rFont val="Calibri"/>
        <family val="2"/>
        <scheme val="minor"/>
      </rPr>
      <t>:</t>
    </r>
  </si>
  <si>
    <t>Drill down by Product, Region, Month</t>
  </si>
  <si>
    <t>Instantly see how changes affect results</t>
  </si>
  <si>
    <t>Enables “what-if” analysis</t>
  </si>
  <si>
    <t>Saves Time and Increases Productivity</t>
  </si>
  <si>
    <t>Eliminates repetitive reporting</t>
  </si>
  <si>
    <t>Automated updates reduce manual effort</t>
  </si>
  <si>
    <t>Analysts focus on insights, not data preparation</t>
  </si>
  <si>
    <t>Alignment Across Teams</t>
  </si>
  <si>
    <r>
      <t xml:space="preserve">Everyone views the </t>
    </r>
    <r>
      <rPr>
        <b/>
        <sz val="11"/>
        <color theme="1"/>
        <rFont val="Calibri"/>
        <family val="2"/>
        <scheme val="minor"/>
      </rPr>
      <t>same metrics and definitions</t>
    </r>
    <r>
      <rPr>
        <sz val="11"/>
        <color theme="1"/>
        <rFont val="Calibri"/>
        <family val="2"/>
        <scheme val="minor"/>
      </rPr>
      <t>:</t>
    </r>
  </si>
  <si>
    <t>Sales, finance, and management stay aligned</t>
  </si>
  <si>
    <t>Improves communication and accountability</t>
  </si>
  <si>
    <t>Ans.8</t>
  </si>
  <si>
    <t>Q.9</t>
  </si>
  <si>
    <t>Group dates in the PivotTable into Months and calculate the average sales per month.</t>
  </si>
  <si>
    <t>Average of Sales</t>
  </si>
  <si>
    <t>Q.10</t>
  </si>
  <si>
    <t>Combine Apples and Oranges into one group called Fruits and compare its sales with other products</t>
  </si>
  <si>
    <t>Group1</t>
  </si>
  <si>
    <t>Q,8</t>
  </si>
  <si>
    <t>Create a Dashboard that includes:</t>
  </si>
  <si>
    <t>Sales by Region (PivotTable + Chart)</t>
  </si>
  <si>
    <t>Product Filter (Slicer)</t>
  </si>
  <si>
    <t>Monthly Trend (Line Chart)</t>
  </si>
  <si>
    <t>Q.6</t>
  </si>
  <si>
    <t>Use a Slicer to filter data by Product and observe changes in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</si>
</sst>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0"/>
      <name val="Calibri"/>
      <family val="2"/>
      <scheme val="minor"/>
    </font>
    <font>
      <b/>
      <sz val="13.5"/>
      <color theme="1"/>
      <name val="Calibri"/>
      <family val="2"/>
      <scheme val="minor"/>
    </font>
    <font>
      <sz val="11"/>
      <color theme="1" tint="4.9989318521683403E-2"/>
      <name val="Calibri"/>
      <family val="2"/>
      <scheme val="minor"/>
    </font>
  </fonts>
  <fills count="3">
    <fill>
      <patternFill patternType="none"/>
    </fill>
    <fill>
      <patternFill patternType="gray125"/>
    </fill>
    <fill>
      <patternFill patternType="solid">
        <fgColor theme="1"/>
        <bgColor indexed="64"/>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thin">
        <color indexed="64"/>
      </top>
      <bottom style="medium">
        <color indexed="64"/>
      </bottom>
      <diagonal/>
    </border>
    <border>
      <left/>
      <right/>
      <top/>
      <bottom style="medium">
        <color indexed="64"/>
      </bottom>
      <diagonal/>
    </border>
  </borders>
  <cellStyleXfs count="1">
    <xf numFmtId="0" fontId="0" fillId="0" borderId="0"/>
  </cellStyleXfs>
  <cellXfs count="18">
    <xf numFmtId="0" fontId="0" fillId="0" borderId="0" xfId="0"/>
    <xf numFmtId="0" fontId="3"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0" fillId="0" borderId="3" xfId="0" applyNumberFormat="1" applyBorder="1" applyAlignment="1">
      <alignment horizontal="right" wrapText="1"/>
    </xf>
    <xf numFmtId="0" fontId="0" fillId="0" borderId="3" xfId="0" applyBorder="1" applyAlignment="1">
      <alignment wrapText="1"/>
    </xf>
    <xf numFmtId="0" fontId="0" fillId="0" borderId="3" xfId="0" applyBorder="1" applyAlignment="1">
      <alignment horizontal="right" wrapText="1"/>
    </xf>
    <xf numFmtId="0" fontId="1" fillId="0" borderId="4" xfId="0" applyFont="1" applyBorder="1" applyAlignment="1">
      <alignment horizontal="center" vertical="top" wrapText="1"/>
    </xf>
    <xf numFmtId="0" fontId="0" fillId="0" borderId="0" xfId="0" pivotButton="1"/>
    <xf numFmtId="0" fontId="0" fillId="0" borderId="0" xfId="0" applyAlignment="1">
      <alignment horizontal="left"/>
    </xf>
    <xf numFmtId="0" fontId="2" fillId="2" borderId="0" xfId="0" applyFont="1" applyFill="1"/>
    <xf numFmtId="0" fontId="1" fillId="0" borderId="0" xfId="0" applyFont="1"/>
    <xf numFmtId="0" fontId="0" fillId="0" borderId="0" xfId="0" applyAlignment="1">
      <alignment horizontal="left" indent="1"/>
    </xf>
    <xf numFmtId="0" fontId="4" fillId="0" borderId="0" xfId="0" applyFont="1"/>
    <xf numFmtId="0" fontId="0" fillId="0" borderId="5" xfId="0" applyBorder="1"/>
  </cellXfs>
  <cellStyles count="1">
    <cellStyle name="Normal" xfId="0" builtinId="0"/>
  </cellStyles>
  <dxfs count="2">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136482939632541E-2"/>
          <c:y val="0.26226414406532522"/>
          <c:w val="0.87753018372703417"/>
          <c:h val="0.53774387576552929"/>
        </c:manualLayout>
      </c:layout>
      <c:barChart>
        <c:barDir val="col"/>
        <c:grouping val="clustered"/>
        <c:varyColors val="0"/>
        <c:ser>
          <c:idx val="0"/>
          <c:order val="0"/>
          <c:tx>
            <c:v>Total</c:v>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Lit>
              <c:ptCount val="6"/>
              <c:pt idx="0">
                <c:v>Jan</c:v>
              </c:pt>
              <c:pt idx="1">
                <c:v>Feb</c:v>
              </c:pt>
              <c:pt idx="2">
                <c:v>Mar</c:v>
              </c:pt>
              <c:pt idx="3">
                <c:v>Apr</c:v>
              </c:pt>
              <c:pt idx="4">
                <c:v>May</c:v>
              </c:pt>
              <c:pt idx="5">
                <c:v>Jun</c:v>
              </c:pt>
            </c:strLit>
          </c:cat>
          <c:val>
            <c:numLit>
              <c:formatCode>General</c:formatCode>
              <c:ptCount val="6"/>
              <c:pt idx="0">
                <c:v>1281</c:v>
              </c:pt>
              <c:pt idx="1">
                <c:v>1032</c:v>
              </c:pt>
              <c:pt idx="2">
                <c:v>958</c:v>
              </c:pt>
              <c:pt idx="3">
                <c:v>1155</c:v>
              </c:pt>
              <c:pt idx="4">
                <c:v>1286</c:v>
              </c:pt>
              <c:pt idx="5">
                <c:v>1117</c:v>
              </c:pt>
            </c:numLit>
          </c:val>
          <c:extLst>
            <c:ext xmlns:c16="http://schemas.microsoft.com/office/drawing/2014/chart" uri="{C3380CC4-5D6E-409C-BE32-E72D297353CC}">
              <c16:uniqueId val="{00000001-CDBB-483D-904E-34C1167FCCAA}"/>
            </c:ext>
          </c:extLst>
        </c:ser>
        <c:dLbls>
          <c:showLegendKey val="0"/>
          <c:showVal val="0"/>
          <c:showCatName val="0"/>
          <c:showSerName val="0"/>
          <c:showPercent val="0"/>
          <c:showBubbleSize val="0"/>
        </c:dLbls>
        <c:gapWidth val="219"/>
        <c:overlap val="-27"/>
        <c:axId val="427436272"/>
        <c:axId val="427431472"/>
      </c:barChart>
      <c:catAx>
        <c:axId val="427436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31472"/>
        <c:crosses val="autoZero"/>
        <c:auto val="1"/>
        <c:lblAlgn val="ctr"/>
        <c:lblOffset val="100"/>
        <c:noMultiLvlLbl val="0"/>
      </c:catAx>
      <c:valAx>
        <c:axId val="4274314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3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[Assignment3.xlsx]Sheet4!PivotTable6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Sheet4!$A$18:$A$24</c:f>
              <c:strCache>
                <c:ptCount val="6"/>
                <c:pt idx="0">
                  <c:v>Jan</c:v>
                </c:pt>
                <c:pt idx="1">
                  <c:v>Feb</c:v>
                </c:pt>
                <c:pt idx="2">
                  <c:v>Mar</c:v>
                </c:pt>
                <c:pt idx="3">
                  <c:v>Apr</c:v>
                </c:pt>
                <c:pt idx="4">
                  <c:v>May</c:v>
                </c:pt>
                <c:pt idx="5">
                  <c:v>Jun</c:v>
                </c:pt>
              </c:strCache>
            </c:strRef>
          </c:cat>
          <c:val>
            <c:numRef>
              <c:f>Sheet4!$B$18:$B$24</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5CF9-4B69-955F-42D6579C05DB}"/>
            </c:ext>
          </c:extLst>
        </c:ser>
        <c:dLbls>
          <c:showLegendKey val="0"/>
          <c:showVal val="0"/>
          <c:showCatName val="0"/>
          <c:showSerName val="0"/>
          <c:showPercent val="0"/>
          <c:showBubbleSize val="0"/>
        </c:dLbls>
        <c:marker val="1"/>
        <c:smooth val="0"/>
        <c:axId val="537076160"/>
        <c:axId val="537077120"/>
      </c:lineChart>
      <c:catAx>
        <c:axId val="53707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077120"/>
        <c:crosses val="autoZero"/>
        <c:auto val="1"/>
        <c:lblAlgn val="ctr"/>
        <c:lblOffset val="100"/>
        <c:noMultiLvlLbl val="0"/>
      </c:catAx>
      <c:valAx>
        <c:axId val="53707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07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[Assignment3.xlsx]Sheet4!PivotTable5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F5-48C5-94BF-D6D212802E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F5-48C5-94BF-D6D212802E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F5-48C5-94BF-D6D212802E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0F5-48C5-94BF-D6D212802EA5}"/>
              </c:ext>
            </c:extLst>
          </c:dPt>
          <c:cat>
            <c:strRef>
              <c:f>Sheet4!$A$4:$A$8</c:f>
              <c:strCache>
                <c:ptCount val="4"/>
                <c:pt idx="0">
                  <c:v>East</c:v>
                </c:pt>
                <c:pt idx="1">
                  <c:v>North</c:v>
                </c:pt>
                <c:pt idx="2">
                  <c:v>South</c:v>
                </c:pt>
                <c:pt idx="3">
                  <c:v>West</c:v>
                </c:pt>
              </c:strCache>
            </c:strRef>
          </c:cat>
          <c:val>
            <c:numRef>
              <c:f>Sheet4!$B$4:$B$8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BBB0-498C-8485-279C57EAF4A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381000</xdr:colOff>
      <xdr:row>9</xdr:row>
      <xdr:rowOff>180975</xdr:rowOff>
    </xdr:from>
    <xdr:to>
      <xdr:col>9</xdr:col>
      <xdr:colOff>266700</xdr:colOff>
      <xdr:row>20</xdr:row>
      <xdr:rowOff>114300</xdr:rowOff>
    </xdr:to>
    <xdr:graphicFrame macro="">
      <xdr:nvGraphicFramePr>
        <xdr:cNvPr id="3" name="Chart 2">
          <a:extLst>
            <a:ext uri="{FF2B5EF4-FFF2-40B4-BE49-F238E27FC236}">
              <a16:creationId xmlns:a16="http://schemas.microsoft.com/office/drawing/2014/main" id="{F245B495-CF04-4842-B667-4D0751135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25</xdr:row>
      <xdr:rowOff>0</xdr:rowOff>
    </xdr:from>
    <xdr:to>
      <xdr:col>1</xdr:col>
      <xdr:colOff>1828800</xdr:colOff>
      <xdr:row>31</xdr:row>
      <xdr:rowOff>66675</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9DD81297-DD06-45F1-A94A-FDA3602E886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76300" y="4762500"/>
              <a:ext cx="18288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561975</xdr:colOff>
      <xdr:row>4</xdr:row>
      <xdr:rowOff>38101</xdr:rowOff>
    </xdr:from>
    <xdr:to>
      <xdr:col>12</xdr:col>
      <xdr:colOff>561975</xdr:colOff>
      <xdr:row>10</xdr:row>
      <xdr:rowOff>57151</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635AFBAF-8C23-D95C-DFA9-0F1C283982C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515100" y="800101"/>
              <a:ext cx="1828800"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14</xdr:row>
      <xdr:rowOff>133350</xdr:rowOff>
    </xdr:from>
    <xdr:to>
      <xdr:col>8</xdr:col>
      <xdr:colOff>385763</xdr:colOff>
      <xdr:row>26</xdr:row>
      <xdr:rowOff>33338</xdr:rowOff>
    </xdr:to>
    <xdr:graphicFrame macro="">
      <xdr:nvGraphicFramePr>
        <xdr:cNvPr id="5" name="Chart 4">
          <a:extLst>
            <a:ext uri="{FF2B5EF4-FFF2-40B4-BE49-F238E27FC236}">
              <a16:creationId xmlns:a16="http://schemas.microsoft.com/office/drawing/2014/main" id="{63D0CF90-4974-4A42-8542-9B7F2CA28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176212</xdr:colOff>
      <xdr:row>2</xdr:row>
      <xdr:rowOff>33337</xdr:rowOff>
    </xdr:from>
    <xdr:to>
      <xdr:col>8</xdr:col>
      <xdr:colOff>323850</xdr:colOff>
      <xdr:row>12</xdr:row>
      <xdr:rowOff>123825</xdr:rowOff>
    </xdr:to>
    <xdr:graphicFrame macro="">
      <xdr:nvGraphicFramePr>
        <xdr:cNvPr id="6" name="Chart 5">
          <a:extLst>
            <a:ext uri="{FF2B5EF4-FFF2-40B4-BE49-F238E27FC236}">
              <a16:creationId xmlns:a16="http://schemas.microsoft.com/office/drawing/2014/main" id="{9A0C51BD-0354-3D4D-C0FC-3A6F732B6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6.779848958337" createdVersion="8" refreshedVersion="8" minRefreshableVersion="3" recordCount="20" xr:uid="{CF1E85AB-93C1-451F-843E-927CF222C60E}">
  <cacheSource type="worksheet">
    <worksheetSource ref="A3:F23" sheet="Sheet2"/>
  </cacheSource>
  <cacheFields count="6">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Total Sales" numFmtId="0">
      <sharedItems containsSemiMixedTypes="0" containsString="0" containsNumber="1" containsInteger="1" minValue="2385" maxValue="46851"/>
    </cacheField>
  </cacheFields>
  <extLst>
    <ext xmlns:x14="http://schemas.microsoft.com/office/spreadsheetml/2009/9/main" uri="{725AE2AE-9491-48be-B2B4-4EB974FC3084}">
      <x14:pivotCacheDefinition pivotCacheId="20685705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6.797874999997" createdVersion="8" refreshedVersion="8" minRefreshableVersion="3" recordCount="20" xr:uid="{607DC44B-1F77-47D2-8081-56FCB9C22C62}">
  <cacheSource type="worksheet">
    <worksheetSource ref="A39:E59" sheet="Sheet1"/>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cacheField>
    <cacheField name="Region" numFmtId="0">
      <sharedItems count="4">
        <s v="West"/>
        <s v="South"/>
        <s v="East"/>
        <s v="North"/>
      </sharedItems>
    </cacheField>
    <cacheField name="Product" numFmtId="0">
      <sharedItems count="3">
        <s v="Mangoes"/>
        <s v="Oranges"/>
        <s v="Apples"/>
      </sharedItems>
      <fieldGroup par="6"/>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2424725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x v="0"/>
    <n v="456"/>
    <n v="93"/>
    <n v="42408"/>
  </r>
  <r>
    <d v="2024-01-10T12:37:54"/>
    <x v="1"/>
    <x v="1"/>
    <n v="348"/>
    <n v="56"/>
    <n v="19488"/>
  </r>
  <r>
    <d v="2024-01-20T01:15:47"/>
    <x v="1"/>
    <x v="0"/>
    <n v="247"/>
    <n v="76"/>
    <n v="18772"/>
  </r>
  <r>
    <d v="2024-01-29T13:53:41"/>
    <x v="0"/>
    <x v="2"/>
    <n v="230"/>
    <n v="37"/>
    <n v="8510"/>
  </r>
  <r>
    <d v="2024-02-08T02:31:35"/>
    <x v="0"/>
    <x v="0"/>
    <n v="281"/>
    <n v="50"/>
    <n v="14050"/>
  </r>
  <r>
    <d v="2024-02-17T15:09:28"/>
    <x v="0"/>
    <x v="1"/>
    <n v="334"/>
    <n v="52"/>
    <n v="17368"/>
  </r>
  <r>
    <d v="2024-02-27T03:47:22"/>
    <x v="1"/>
    <x v="2"/>
    <n v="417"/>
    <n v="29"/>
    <n v="12093"/>
  </r>
  <r>
    <d v="2024-03-07T16:25:16"/>
    <x v="0"/>
    <x v="2"/>
    <n v="441"/>
    <n v="44"/>
    <n v="19404"/>
  </r>
  <r>
    <d v="2024-03-17T05:03:09"/>
    <x v="1"/>
    <x v="0"/>
    <n v="76"/>
    <n v="63"/>
    <n v="4788"/>
  </r>
  <r>
    <d v="2024-03-26T17:41:03"/>
    <x v="0"/>
    <x v="1"/>
    <n v="441"/>
    <n v="79"/>
    <n v="34839"/>
  </r>
  <r>
    <d v="2024-04-05T06:18:57"/>
    <x v="1"/>
    <x v="0"/>
    <n v="205"/>
    <n v="23"/>
    <n v="4715"/>
  </r>
  <r>
    <d v="2024-04-14T18:56:51"/>
    <x v="0"/>
    <x v="1"/>
    <n v="483"/>
    <n v="97"/>
    <n v="46851"/>
  </r>
  <r>
    <d v="2024-04-24T07:34:44"/>
    <x v="2"/>
    <x v="0"/>
    <n v="467"/>
    <n v="97"/>
    <n v="45299"/>
  </r>
  <r>
    <d v="2024-05-03T20:12:38"/>
    <x v="0"/>
    <x v="0"/>
    <n v="380"/>
    <n v="92"/>
    <n v="34960"/>
  </r>
  <r>
    <d v="2024-05-13T08:50:32"/>
    <x v="1"/>
    <x v="1"/>
    <n v="497"/>
    <n v="71"/>
    <n v="35287"/>
  </r>
  <r>
    <d v="2024-05-22T21:28:25"/>
    <x v="1"/>
    <x v="0"/>
    <n v="409"/>
    <n v="81"/>
    <n v="33129"/>
  </r>
  <r>
    <d v="2024-06-01T10:06:19"/>
    <x v="0"/>
    <x v="1"/>
    <n v="53"/>
    <n v="45"/>
    <n v="2385"/>
  </r>
  <r>
    <d v="2024-06-10T22:44:13"/>
    <x v="0"/>
    <x v="2"/>
    <n v="398"/>
    <n v="33"/>
    <n v="13134"/>
  </r>
  <r>
    <d v="2024-06-20T11:22:06"/>
    <x v="3"/>
    <x v="1"/>
    <n v="347"/>
    <n v="35"/>
    <n v="12145"/>
  </r>
  <r>
    <d v="2024-06-30T00:00:00"/>
    <x v="1"/>
    <x v="2"/>
    <n v="319"/>
    <n v="45"/>
    <n v="1435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4D1274-BE02-4D3F-A3E0-E6C8A4C18B0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B19"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5"/>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FAD89D-265F-4017-B804-1E85D7A195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6">
    <pivotField numFmtId="22" showAll="0"/>
    <pivotField axis="axisRow" showAll="0">
      <items count="5">
        <item x="2"/>
        <item x="3"/>
        <item x="1"/>
        <item x="0"/>
        <item t="default"/>
      </items>
    </pivotField>
    <pivotField showAll="0">
      <items count="4">
        <item x="2"/>
        <item x="0"/>
        <item x="1"/>
        <item t="default"/>
      </items>
    </pivotField>
    <pivotField showAll="0"/>
    <pivotField showAll="0"/>
    <pivotField dataField="1" showAll="0"/>
  </pivotFields>
  <rowFields count="1">
    <field x="1"/>
  </rowFields>
  <rowItems count="5">
    <i>
      <x/>
    </i>
    <i>
      <x v="1"/>
    </i>
    <i>
      <x v="2"/>
    </i>
    <i>
      <x v="3"/>
    </i>
    <i t="grand">
      <x/>
    </i>
  </rowItems>
  <colItems count="1">
    <i/>
  </colItems>
  <dataFields count="1">
    <dataField name="Sum of Total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BF337D-B3DC-43E6-B658-AF59329C7C5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B24"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5"/>
  </rowFields>
  <rowItems count="7">
    <i>
      <x v="1"/>
    </i>
    <i>
      <x v="2"/>
    </i>
    <i>
      <x v="3"/>
    </i>
    <i>
      <x v="4"/>
    </i>
    <i>
      <x v="5"/>
    </i>
    <i>
      <x v="6"/>
    </i>
    <i t="grand">
      <x/>
    </i>
  </rowItems>
  <colItems count="1">
    <i/>
  </colItems>
  <dataFields count="1">
    <dataField name="Sum of Sales" fld="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502ABA-F878-4AB9-98C5-03E5F6C417B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chartFormats count="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2CF65A-F74B-4771-B963-D2F9905FB35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19"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items count="14">
        <item x="0"/>
        <item x="1"/>
        <item x="2"/>
        <item x="3"/>
        <item x="4"/>
        <item x="5"/>
        <item x="6"/>
        <item x="7"/>
        <item x="8"/>
        <item x="9"/>
        <item x="10"/>
        <item x="11"/>
        <item x="12"/>
        <item x="13"/>
      </items>
    </pivotField>
    <pivotField axis="axisRow" showAll="0">
      <items count="3">
        <item x="1"/>
        <item sd="0" x="0"/>
        <item t="default"/>
      </items>
    </pivotField>
  </pivotFields>
  <rowFields count="2">
    <field x="6"/>
    <field x="2"/>
  </rowFields>
  <rowItems count="5">
    <i>
      <x/>
    </i>
    <i r="1">
      <x/>
    </i>
    <i r="1">
      <x v="2"/>
    </i>
    <i>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26F649-FED9-41BD-A808-39E43509B32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5"/>
  </rowFields>
  <rowItems count="7">
    <i>
      <x v="1"/>
    </i>
    <i>
      <x v="2"/>
    </i>
    <i>
      <x v="3"/>
    </i>
    <i>
      <x v="4"/>
    </i>
    <i>
      <x v="5"/>
    </i>
    <i>
      <x v="6"/>
    </i>
    <i t="grand">
      <x/>
    </i>
  </rowItems>
  <colItems count="1">
    <i/>
  </colItems>
  <dataFields count="1">
    <dataField name="Average of Sales" fld="3" subtotal="average"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1B6E65A-A8B7-4D26-943D-A6C0494461EE}" sourceName="Product">
  <pivotTables>
    <pivotTable tabId="3" name="PivotTable3"/>
    <pivotTable tabId="6" name="PivotTable6"/>
    <pivotTable tabId="6" name="PivotTable5"/>
    <pivotTable tabId="8" name="PivotTable7"/>
    <pivotTable tabId="8" name="PivotTable8"/>
  </pivotTables>
  <data>
    <tabular pivotCacheId="124247259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3F85E8B-E768-4F49-BE96-A1E4E450DE00}"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FA68D1DB-EDCB-472B-A1D1-A885E2E5E1B9}" cache="Slicer_Product"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E061C-B930-472B-8E0F-3E42E32310FC}">
  <dimension ref="A1:F123"/>
  <sheetViews>
    <sheetView topLeftCell="A100" workbookViewId="0">
      <selection activeCell="H45" sqref="H45"/>
    </sheetView>
  </sheetViews>
  <sheetFormatPr defaultRowHeight="15" x14ac:dyDescent="0.25"/>
  <cols>
    <col min="1" max="1" width="14.85546875" bestFit="1" customWidth="1"/>
    <col min="2" max="2" width="110.140625" customWidth="1"/>
  </cols>
  <sheetData>
    <row r="1" spans="1:2" x14ac:dyDescent="0.25">
      <c r="A1" t="s">
        <v>0</v>
      </c>
      <c r="B1" t="s">
        <v>1</v>
      </c>
    </row>
    <row r="2" spans="1:2" ht="16.5" customHeight="1" x14ac:dyDescent="0.25"/>
    <row r="3" spans="1:2" ht="24" customHeight="1" x14ac:dyDescent="0.25">
      <c r="A3" t="s">
        <v>2</v>
      </c>
      <c r="B3" t="s">
        <v>3</v>
      </c>
    </row>
    <row r="5" spans="1:2" ht="18" x14ac:dyDescent="0.25">
      <c r="B5" s="1" t="s">
        <v>4</v>
      </c>
    </row>
    <row r="6" spans="1:2" x14ac:dyDescent="0.25">
      <c r="B6" s="2"/>
    </row>
    <row r="7" spans="1:2" x14ac:dyDescent="0.25">
      <c r="B7" s="3" t="s">
        <v>5</v>
      </c>
    </row>
    <row r="8" spans="1:2" x14ac:dyDescent="0.25">
      <c r="B8" s="4" t="s">
        <v>6</v>
      </c>
    </row>
    <row r="9" spans="1:2" x14ac:dyDescent="0.25">
      <c r="B9" s="4" t="s">
        <v>7</v>
      </c>
    </row>
    <row r="10" spans="1:2" x14ac:dyDescent="0.25">
      <c r="B10" s="4"/>
    </row>
    <row r="11" spans="1:2" x14ac:dyDescent="0.25">
      <c r="B11" s="3" t="s">
        <v>8</v>
      </c>
    </row>
    <row r="12" spans="1:2" x14ac:dyDescent="0.25">
      <c r="B12" s="4" t="s">
        <v>9</v>
      </c>
    </row>
    <row r="13" spans="1:2" x14ac:dyDescent="0.25">
      <c r="B13" s="4" t="s">
        <v>10</v>
      </c>
    </row>
    <row r="14" spans="1:2" x14ac:dyDescent="0.25">
      <c r="B14" s="2"/>
    </row>
    <row r="15" spans="1:2" x14ac:dyDescent="0.25">
      <c r="B15" s="3" t="s">
        <v>11</v>
      </c>
    </row>
    <row r="16" spans="1:2" x14ac:dyDescent="0.25">
      <c r="B16" s="4" t="s">
        <v>12</v>
      </c>
    </row>
    <row r="17" spans="2:2" x14ac:dyDescent="0.25">
      <c r="B17" s="4" t="s">
        <v>13</v>
      </c>
    </row>
    <row r="18" spans="2:2" x14ac:dyDescent="0.25">
      <c r="B18" s="4"/>
    </row>
    <row r="19" spans="2:2" x14ac:dyDescent="0.25">
      <c r="B19" s="3" t="s">
        <v>14</v>
      </c>
    </row>
    <row r="20" spans="2:2" x14ac:dyDescent="0.25">
      <c r="B20" s="4" t="s">
        <v>15</v>
      </c>
    </row>
    <row r="21" spans="2:2" x14ac:dyDescent="0.25">
      <c r="B21" s="4" t="s">
        <v>16</v>
      </c>
    </row>
    <row r="22" spans="2:2" x14ac:dyDescent="0.25">
      <c r="B22" s="2"/>
    </row>
    <row r="23" spans="2:2" x14ac:dyDescent="0.25">
      <c r="B23" s="3" t="s">
        <v>17</v>
      </c>
    </row>
    <row r="24" spans="2:2" x14ac:dyDescent="0.25">
      <c r="B24" s="4" t="s">
        <v>18</v>
      </c>
    </row>
    <row r="25" spans="2:2" x14ac:dyDescent="0.25">
      <c r="B25" s="4" t="s">
        <v>19</v>
      </c>
    </row>
    <row r="26" spans="2:2" x14ac:dyDescent="0.25">
      <c r="B26" s="4"/>
    </row>
    <row r="27" spans="2:2" x14ac:dyDescent="0.25">
      <c r="B27" s="3" t="s">
        <v>20</v>
      </c>
    </row>
    <row r="28" spans="2:2" x14ac:dyDescent="0.25">
      <c r="B28" s="4" t="s">
        <v>21</v>
      </c>
    </row>
    <row r="29" spans="2:2" x14ac:dyDescent="0.25">
      <c r="B29" s="4" t="s">
        <v>22</v>
      </c>
    </row>
    <row r="30" spans="2:2" x14ac:dyDescent="0.25">
      <c r="B30" s="2"/>
    </row>
    <row r="31" spans="2:2" ht="18" x14ac:dyDescent="0.25">
      <c r="B31" s="1" t="s">
        <v>23</v>
      </c>
    </row>
    <row r="32" spans="2:2" x14ac:dyDescent="0.25">
      <c r="B32" t="s">
        <v>24</v>
      </c>
    </row>
    <row r="33" spans="1:6" x14ac:dyDescent="0.25">
      <c r="B33" s="2" t="s">
        <v>25</v>
      </c>
    </row>
    <row r="34" spans="1:6" x14ac:dyDescent="0.25">
      <c r="B34" s="2" t="s">
        <v>26</v>
      </c>
    </row>
    <row r="35" spans="1:6" x14ac:dyDescent="0.25">
      <c r="B35" s="2" t="s">
        <v>27</v>
      </c>
    </row>
    <row r="36" spans="1:6" x14ac:dyDescent="0.25">
      <c r="B36" s="4"/>
    </row>
    <row r="37" spans="1:6" x14ac:dyDescent="0.25">
      <c r="A37" t="s">
        <v>46</v>
      </c>
      <c r="B37" t="s">
        <v>47</v>
      </c>
    </row>
    <row r="38" spans="1:6" ht="15.75" thickBot="1" x14ac:dyDescent="0.3"/>
    <row r="39" spans="1:6" ht="30.75" thickBot="1" x14ac:dyDescent="0.3">
      <c r="A39" s="5" t="s">
        <v>29</v>
      </c>
      <c r="B39" s="6" t="s">
        <v>30</v>
      </c>
      <c r="C39" s="6" t="s">
        <v>31</v>
      </c>
      <c r="D39" s="6" t="s">
        <v>32</v>
      </c>
      <c r="E39" s="6" t="s">
        <v>33</v>
      </c>
      <c r="F39" s="10" t="s">
        <v>41</v>
      </c>
    </row>
    <row r="40" spans="1:6" ht="15.75" thickBot="1" x14ac:dyDescent="0.3">
      <c r="A40" s="7">
        <v>45292</v>
      </c>
      <c r="B40" s="8" t="s">
        <v>34</v>
      </c>
      <c r="C40" s="8" t="s">
        <v>35</v>
      </c>
      <c r="D40" s="9">
        <v>456</v>
      </c>
      <c r="E40" s="9">
        <v>93</v>
      </c>
      <c r="F40">
        <f>D40*E40</f>
        <v>42408</v>
      </c>
    </row>
    <row r="41" spans="1:6" ht="15.75" thickBot="1" x14ac:dyDescent="0.3">
      <c r="A41" s="7">
        <v>45301.526319444441</v>
      </c>
      <c r="B41" s="8" t="s">
        <v>36</v>
      </c>
      <c r="C41" s="8" t="s">
        <v>37</v>
      </c>
      <c r="D41" s="9">
        <v>348</v>
      </c>
      <c r="E41" s="9">
        <v>56</v>
      </c>
      <c r="F41">
        <f t="shared" ref="F41:F59" si="0">D41*E41</f>
        <v>19488</v>
      </c>
    </row>
    <row r="42" spans="1:6" ht="15.75" thickBot="1" x14ac:dyDescent="0.3">
      <c r="A42" s="7">
        <v>45311.052627314813</v>
      </c>
      <c r="B42" s="8" t="s">
        <v>36</v>
      </c>
      <c r="C42" s="8" t="s">
        <v>35</v>
      </c>
      <c r="D42" s="9">
        <v>247</v>
      </c>
      <c r="E42" s="9">
        <v>76</v>
      </c>
      <c r="F42">
        <f t="shared" si="0"/>
        <v>18772</v>
      </c>
    </row>
    <row r="43" spans="1:6" ht="15.75" thickBot="1" x14ac:dyDescent="0.3">
      <c r="A43" s="7">
        <v>45320.578946759262</v>
      </c>
      <c r="B43" s="8" t="s">
        <v>34</v>
      </c>
      <c r="C43" s="8" t="s">
        <v>38</v>
      </c>
      <c r="D43" s="9">
        <v>230</v>
      </c>
      <c r="E43" s="9">
        <v>37</v>
      </c>
      <c r="F43">
        <f t="shared" si="0"/>
        <v>8510</v>
      </c>
    </row>
    <row r="44" spans="1:6" ht="15.75" thickBot="1" x14ac:dyDescent="0.3">
      <c r="A44" s="7">
        <v>45330.105266203704</v>
      </c>
      <c r="B44" s="8" t="s">
        <v>34</v>
      </c>
      <c r="C44" s="8" t="s">
        <v>35</v>
      </c>
      <c r="D44" s="9">
        <v>281</v>
      </c>
      <c r="E44" s="9">
        <v>50</v>
      </c>
      <c r="F44">
        <f t="shared" si="0"/>
        <v>14050</v>
      </c>
    </row>
    <row r="45" spans="1:6" ht="15.75" thickBot="1" x14ac:dyDescent="0.3">
      <c r="A45" s="7">
        <v>45339.631574074076</v>
      </c>
      <c r="B45" s="8" t="s">
        <v>34</v>
      </c>
      <c r="C45" s="8" t="s">
        <v>37</v>
      </c>
      <c r="D45" s="9">
        <v>334</v>
      </c>
      <c r="E45" s="9">
        <v>52</v>
      </c>
      <c r="F45">
        <f t="shared" si="0"/>
        <v>17368</v>
      </c>
    </row>
    <row r="46" spans="1:6" ht="15.75" thickBot="1" x14ac:dyDescent="0.3">
      <c r="A46" s="7">
        <v>45349.157893518517</v>
      </c>
      <c r="B46" s="8" t="s">
        <v>36</v>
      </c>
      <c r="C46" s="8" t="s">
        <v>38</v>
      </c>
      <c r="D46" s="9">
        <v>417</v>
      </c>
      <c r="E46" s="9">
        <v>29</v>
      </c>
      <c r="F46">
        <f t="shared" si="0"/>
        <v>12093</v>
      </c>
    </row>
    <row r="47" spans="1:6" ht="15.75" thickBot="1" x14ac:dyDescent="0.3">
      <c r="A47" s="7">
        <v>45358.684212962966</v>
      </c>
      <c r="B47" s="8" t="s">
        <v>34</v>
      </c>
      <c r="C47" s="8" t="s">
        <v>38</v>
      </c>
      <c r="D47" s="9">
        <v>441</v>
      </c>
      <c r="E47" s="9">
        <v>44</v>
      </c>
      <c r="F47">
        <f t="shared" si="0"/>
        <v>19404</v>
      </c>
    </row>
    <row r="48" spans="1:6" ht="15.75" thickBot="1" x14ac:dyDescent="0.3">
      <c r="A48" s="7">
        <v>45368.210520833331</v>
      </c>
      <c r="B48" s="8" t="s">
        <v>36</v>
      </c>
      <c r="C48" s="8" t="s">
        <v>35</v>
      </c>
      <c r="D48" s="9">
        <v>76</v>
      </c>
      <c r="E48" s="9">
        <v>63</v>
      </c>
      <c r="F48">
        <f t="shared" si="0"/>
        <v>4788</v>
      </c>
    </row>
    <row r="49" spans="1:6" ht="15.75" thickBot="1" x14ac:dyDescent="0.3">
      <c r="A49" s="7">
        <v>45377.736840277779</v>
      </c>
      <c r="B49" s="8" t="s">
        <v>34</v>
      </c>
      <c r="C49" s="8" t="s">
        <v>37</v>
      </c>
      <c r="D49" s="9">
        <v>441</v>
      </c>
      <c r="E49" s="9">
        <v>79</v>
      </c>
      <c r="F49">
        <f t="shared" si="0"/>
        <v>34839</v>
      </c>
    </row>
    <row r="50" spans="1:6" ht="15.75" thickBot="1" x14ac:dyDescent="0.3">
      <c r="A50" s="7">
        <v>45387.263159722221</v>
      </c>
      <c r="B50" s="8" t="s">
        <v>36</v>
      </c>
      <c r="C50" s="8" t="s">
        <v>35</v>
      </c>
      <c r="D50" s="9">
        <v>205</v>
      </c>
      <c r="E50" s="9">
        <v>23</v>
      </c>
      <c r="F50">
        <f t="shared" si="0"/>
        <v>4715</v>
      </c>
    </row>
    <row r="51" spans="1:6" ht="15.75" thickBot="1" x14ac:dyDescent="0.3">
      <c r="A51" s="7">
        <v>45396.789479166669</v>
      </c>
      <c r="B51" s="8" t="s">
        <v>34</v>
      </c>
      <c r="C51" s="8" t="s">
        <v>37</v>
      </c>
      <c r="D51" s="9">
        <v>483</v>
      </c>
      <c r="E51" s="9">
        <v>97</v>
      </c>
      <c r="F51">
        <f t="shared" si="0"/>
        <v>46851</v>
      </c>
    </row>
    <row r="52" spans="1:6" ht="15.75" thickBot="1" x14ac:dyDescent="0.3">
      <c r="A52" s="7">
        <v>45406.315787037034</v>
      </c>
      <c r="B52" s="8" t="s">
        <v>39</v>
      </c>
      <c r="C52" s="8" t="s">
        <v>35</v>
      </c>
      <c r="D52" s="9">
        <v>467</v>
      </c>
      <c r="E52" s="9">
        <v>97</v>
      </c>
      <c r="F52">
        <f t="shared" si="0"/>
        <v>45299</v>
      </c>
    </row>
    <row r="53" spans="1:6" ht="15.75" thickBot="1" x14ac:dyDescent="0.3">
      <c r="A53" s="7">
        <v>45415.842106481483</v>
      </c>
      <c r="B53" s="8" t="s">
        <v>34</v>
      </c>
      <c r="C53" s="8" t="s">
        <v>35</v>
      </c>
      <c r="D53" s="9">
        <v>380</v>
      </c>
      <c r="E53" s="9">
        <v>92</v>
      </c>
      <c r="F53">
        <f t="shared" si="0"/>
        <v>34960</v>
      </c>
    </row>
    <row r="54" spans="1:6" ht="15.75" thickBot="1" x14ac:dyDescent="0.3">
      <c r="A54" s="7">
        <v>45425.368425925924</v>
      </c>
      <c r="B54" s="8" t="s">
        <v>36</v>
      </c>
      <c r="C54" s="8" t="s">
        <v>37</v>
      </c>
      <c r="D54" s="9">
        <v>497</v>
      </c>
      <c r="E54" s="9">
        <v>71</v>
      </c>
      <c r="F54">
        <f t="shared" si="0"/>
        <v>35287</v>
      </c>
    </row>
    <row r="55" spans="1:6" ht="15.75" thickBot="1" x14ac:dyDescent="0.3">
      <c r="A55" s="7">
        <v>45434.894733796296</v>
      </c>
      <c r="B55" s="8" t="s">
        <v>36</v>
      </c>
      <c r="C55" s="8" t="s">
        <v>35</v>
      </c>
      <c r="D55" s="9">
        <v>409</v>
      </c>
      <c r="E55" s="9">
        <v>81</v>
      </c>
      <c r="F55">
        <f t="shared" si="0"/>
        <v>33129</v>
      </c>
    </row>
    <row r="56" spans="1:6" ht="15.75" thickBot="1" x14ac:dyDescent="0.3">
      <c r="A56" s="7">
        <v>45444.421053240738</v>
      </c>
      <c r="B56" s="8" t="s">
        <v>34</v>
      </c>
      <c r="C56" s="8" t="s">
        <v>37</v>
      </c>
      <c r="D56" s="9">
        <v>53</v>
      </c>
      <c r="E56" s="9">
        <v>45</v>
      </c>
      <c r="F56">
        <f t="shared" si="0"/>
        <v>2385</v>
      </c>
    </row>
    <row r="57" spans="1:6" ht="15.75" thickBot="1" x14ac:dyDescent="0.3">
      <c r="A57" s="7">
        <v>45453.947372685187</v>
      </c>
      <c r="B57" s="8" t="s">
        <v>34</v>
      </c>
      <c r="C57" s="8" t="s">
        <v>38</v>
      </c>
      <c r="D57" s="9">
        <v>398</v>
      </c>
      <c r="E57" s="9">
        <v>33</v>
      </c>
      <c r="F57">
        <f t="shared" si="0"/>
        <v>13134</v>
      </c>
    </row>
    <row r="58" spans="1:6" ht="15.75" thickBot="1" x14ac:dyDescent="0.3">
      <c r="A58" s="7">
        <v>45463.473680555559</v>
      </c>
      <c r="B58" s="8" t="s">
        <v>40</v>
      </c>
      <c r="C58" s="8" t="s">
        <v>37</v>
      </c>
      <c r="D58" s="9">
        <v>347</v>
      </c>
      <c r="E58" s="9">
        <v>35</v>
      </c>
      <c r="F58">
        <f t="shared" si="0"/>
        <v>12145</v>
      </c>
    </row>
    <row r="59" spans="1:6" ht="15.75" thickBot="1" x14ac:dyDescent="0.3">
      <c r="A59" s="7">
        <v>45473</v>
      </c>
      <c r="B59" s="8" t="s">
        <v>36</v>
      </c>
      <c r="C59" s="8" t="s">
        <v>38</v>
      </c>
      <c r="D59" s="9">
        <v>319</v>
      </c>
      <c r="E59" s="9">
        <v>45</v>
      </c>
      <c r="F59">
        <f t="shared" si="0"/>
        <v>14355</v>
      </c>
    </row>
    <row r="61" spans="1:6" x14ac:dyDescent="0.25">
      <c r="A61" t="s">
        <v>2</v>
      </c>
    </row>
    <row r="62" spans="1:6" ht="15.75" thickBot="1" x14ac:dyDescent="0.3"/>
    <row r="63" spans="1:6" ht="30.75" thickBot="1" x14ac:dyDescent="0.3">
      <c r="A63" s="5" t="s">
        <v>29</v>
      </c>
      <c r="B63" s="6" t="s">
        <v>30</v>
      </c>
      <c r="C63" s="6" t="s">
        <v>31</v>
      </c>
      <c r="D63" s="6" t="s">
        <v>32</v>
      </c>
      <c r="E63" s="6" t="s">
        <v>33</v>
      </c>
      <c r="F63" s="10" t="s">
        <v>41</v>
      </c>
    </row>
    <row r="64" spans="1:6" ht="15.75" thickBot="1" x14ac:dyDescent="0.3">
      <c r="A64" s="7">
        <v>45292</v>
      </c>
      <c r="B64" s="8" t="s">
        <v>34</v>
      </c>
      <c r="C64" s="8" t="s">
        <v>35</v>
      </c>
      <c r="D64" s="9">
        <v>456</v>
      </c>
      <c r="E64" s="9">
        <v>93</v>
      </c>
      <c r="F64">
        <f>D64*E64</f>
        <v>42408</v>
      </c>
    </row>
    <row r="65" spans="1:6" ht="15.75" thickBot="1" x14ac:dyDescent="0.3">
      <c r="A65" s="7">
        <v>45301.526319444441</v>
      </c>
      <c r="B65" s="8" t="s">
        <v>36</v>
      </c>
      <c r="C65" s="8" t="s">
        <v>37</v>
      </c>
      <c r="D65" s="9">
        <v>348</v>
      </c>
      <c r="E65" s="9">
        <v>56</v>
      </c>
      <c r="F65">
        <f t="shared" ref="F65:F83" si="1">D65*E65</f>
        <v>19488</v>
      </c>
    </row>
    <row r="66" spans="1:6" ht="15.75" thickBot="1" x14ac:dyDescent="0.3">
      <c r="A66" s="7">
        <v>45311.052627314813</v>
      </c>
      <c r="B66" s="8" t="s">
        <v>36</v>
      </c>
      <c r="C66" s="8" t="s">
        <v>35</v>
      </c>
      <c r="D66" s="9">
        <v>247</v>
      </c>
      <c r="E66" s="9">
        <v>76</v>
      </c>
      <c r="F66">
        <f t="shared" si="1"/>
        <v>18772</v>
      </c>
    </row>
    <row r="67" spans="1:6" ht="15.75" thickBot="1" x14ac:dyDescent="0.3">
      <c r="A67" s="7">
        <v>45320.578946759262</v>
      </c>
      <c r="B67" s="8" t="s">
        <v>34</v>
      </c>
      <c r="C67" s="8" t="s">
        <v>38</v>
      </c>
      <c r="D67" s="9">
        <v>230</v>
      </c>
      <c r="E67" s="9">
        <v>37</v>
      </c>
      <c r="F67">
        <f t="shared" si="1"/>
        <v>8510</v>
      </c>
    </row>
    <row r="68" spans="1:6" ht="15.75" thickBot="1" x14ac:dyDescent="0.3">
      <c r="A68" s="7">
        <v>45330.105266203704</v>
      </c>
      <c r="B68" s="8" t="s">
        <v>34</v>
      </c>
      <c r="C68" s="8" t="s">
        <v>35</v>
      </c>
      <c r="D68" s="9">
        <v>281</v>
      </c>
      <c r="E68" s="9">
        <v>50</v>
      </c>
      <c r="F68">
        <f t="shared" si="1"/>
        <v>14050</v>
      </c>
    </row>
    <row r="69" spans="1:6" ht="15.75" thickBot="1" x14ac:dyDescent="0.3">
      <c r="A69" s="7">
        <v>45339.631574074076</v>
      </c>
      <c r="B69" s="8" t="s">
        <v>34</v>
      </c>
      <c r="C69" s="8" t="s">
        <v>37</v>
      </c>
      <c r="D69" s="9">
        <v>334</v>
      </c>
      <c r="E69" s="9">
        <v>52</v>
      </c>
      <c r="F69">
        <f t="shared" si="1"/>
        <v>17368</v>
      </c>
    </row>
    <row r="70" spans="1:6" ht="15.75" thickBot="1" x14ac:dyDescent="0.3">
      <c r="A70" s="7">
        <v>45349.157893518517</v>
      </c>
      <c r="B70" s="8" t="s">
        <v>36</v>
      </c>
      <c r="C70" s="8" t="s">
        <v>38</v>
      </c>
      <c r="D70" s="9">
        <v>417</v>
      </c>
      <c r="E70" s="9">
        <v>29</v>
      </c>
      <c r="F70">
        <f t="shared" si="1"/>
        <v>12093</v>
      </c>
    </row>
    <row r="71" spans="1:6" ht="15.75" thickBot="1" x14ac:dyDescent="0.3">
      <c r="A71" s="7">
        <v>45358.684212962966</v>
      </c>
      <c r="B71" s="8" t="s">
        <v>34</v>
      </c>
      <c r="C71" s="8" t="s">
        <v>38</v>
      </c>
      <c r="D71" s="9">
        <v>441</v>
      </c>
      <c r="E71" s="9">
        <v>44</v>
      </c>
      <c r="F71">
        <f t="shared" si="1"/>
        <v>19404</v>
      </c>
    </row>
    <row r="72" spans="1:6" ht="15.75" thickBot="1" x14ac:dyDescent="0.3">
      <c r="A72" s="7">
        <v>45368.210520833331</v>
      </c>
      <c r="B72" s="8" t="s">
        <v>36</v>
      </c>
      <c r="C72" s="8" t="s">
        <v>35</v>
      </c>
      <c r="D72" s="9">
        <v>76</v>
      </c>
      <c r="E72" s="9">
        <v>63</v>
      </c>
      <c r="F72">
        <f t="shared" si="1"/>
        <v>4788</v>
      </c>
    </row>
    <row r="73" spans="1:6" ht="15.75" thickBot="1" x14ac:dyDescent="0.3">
      <c r="A73" s="7">
        <v>45377.736840277779</v>
      </c>
      <c r="B73" s="8" t="s">
        <v>34</v>
      </c>
      <c r="C73" s="8" t="s">
        <v>37</v>
      </c>
      <c r="D73" s="9">
        <v>441</v>
      </c>
      <c r="E73" s="9">
        <v>79</v>
      </c>
      <c r="F73">
        <f t="shared" si="1"/>
        <v>34839</v>
      </c>
    </row>
    <row r="74" spans="1:6" ht="15.75" thickBot="1" x14ac:dyDescent="0.3">
      <c r="A74" s="7">
        <v>45387.263159722221</v>
      </c>
      <c r="B74" s="8" t="s">
        <v>36</v>
      </c>
      <c r="C74" s="8" t="s">
        <v>35</v>
      </c>
      <c r="D74" s="9">
        <v>205</v>
      </c>
      <c r="E74" s="9">
        <v>23</v>
      </c>
      <c r="F74">
        <f t="shared" si="1"/>
        <v>4715</v>
      </c>
    </row>
    <row r="75" spans="1:6" ht="15.75" thickBot="1" x14ac:dyDescent="0.3">
      <c r="A75" s="7">
        <v>45396.789479166669</v>
      </c>
      <c r="B75" s="8" t="s">
        <v>34</v>
      </c>
      <c r="C75" s="8" t="s">
        <v>37</v>
      </c>
      <c r="D75" s="9">
        <v>483</v>
      </c>
      <c r="E75" s="9">
        <v>97</v>
      </c>
      <c r="F75">
        <f t="shared" si="1"/>
        <v>46851</v>
      </c>
    </row>
    <row r="76" spans="1:6" ht="15.75" thickBot="1" x14ac:dyDescent="0.3">
      <c r="A76" s="7">
        <v>45406.315787037034</v>
      </c>
      <c r="B76" s="8" t="s">
        <v>39</v>
      </c>
      <c r="C76" s="8" t="s">
        <v>35</v>
      </c>
      <c r="D76" s="9">
        <v>467</v>
      </c>
      <c r="E76" s="9">
        <v>97</v>
      </c>
      <c r="F76">
        <f t="shared" si="1"/>
        <v>45299</v>
      </c>
    </row>
    <row r="77" spans="1:6" ht="15.75" thickBot="1" x14ac:dyDescent="0.3">
      <c r="A77" s="7">
        <v>45415.842106481483</v>
      </c>
      <c r="B77" s="8" t="s">
        <v>34</v>
      </c>
      <c r="C77" s="8" t="s">
        <v>35</v>
      </c>
      <c r="D77" s="9">
        <v>380</v>
      </c>
      <c r="E77" s="9">
        <v>92</v>
      </c>
      <c r="F77">
        <f t="shared" si="1"/>
        <v>34960</v>
      </c>
    </row>
    <row r="78" spans="1:6" ht="15.75" thickBot="1" x14ac:dyDescent="0.3">
      <c r="A78" s="7">
        <v>45425.368425925924</v>
      </c>
      <c r="B78" s="8" t="s">
        <v>36</v>
      </c>
      <c r="C78" s="8" t="s">
        <v>37</v>
      </c>
      <c r="D78" s="9">
        <v>497</v>
      </c>
      <c r="E78" s="9">
        <v>71</v>
      </c>
      <c r="F78">
        <f t="shared" si="1"/>
        <v>35287</v>
      </c>
    </row>
    <row r="79" spans="1:6" ht="15.75" thickBot="1" x14ac:dyDescent="0.3">
      <c r="A79" s="7">
        <v>45434.894733796296</v>
      </c>
      <c r="B79" s="8" t="s">
        <v>36</v>
      </c>
      <c r="C79" s="8" t="s">
        <v>35</v>
      </c>
      <c r="D79" s="9">
        <v>409</v>
      </c>
      <c r="E79" s="9">
        <v>81</v>
      </c>
      <c r="F79">
        <f t="shared" si="1"/>
        <v>33129</v>
      </c>
    </row>
    <row r="80" spans="1:6" ht="15.75" thickBot="1" x14ac:dyDescent="0.3">
      <c r="A80" s="7">
        <v>45444.421053240738</v>
      </c>
      <c r="B80" s="8" t="s">
        <v>34</v>
      </c>
      <c r="C80" s="8" t="s">
        <v>37</v>
      </c>
      <c r="D80" s="9">
        <v>53</v>
      </c>
      <c r="E80" s="9">
        <v>45</v>
      </c>
      <c r="F80">
        <f t="shared" si="1"/>
        <v>2385</v>
      </c>
    </row>
    <row r="81" spans="1:6" ht="15.75" thickBot="1" x14ac:dyDescent="0.3">
      <c r="A81" s="7">
        <v>45453.947372685187</v>
      </c>
      <c r="B81" s="8" t="s">
        <v>34</v>
      </c>
      <c r="C81" s="8" t="s">
        <v>38</v>
      </c>
      <c r="D81" s="9">
        <v>398</v>
      </c>
      <c r="E81" s="9">
        <v>33</v>
      </c>
      <c r="F81">
        <f t="shared" si="1"/>
        <v>13134</v>
      </c>
    </row>
    <row r="82" spans="1:6" ht="15.75" thickBot="1" x14ac:dyDescent="0.3">
      <c r="A82" s="7">
        <v>45463.473680555559</v>
      </c>
      <c r="B82" s="8" t="s">
        <v>40</v>
      </c>
      <c r="C82" s="8" t="s">
        <v>37</v>
      </c>
      <c r="D82" s="9">
        <v>347</v>
      </c>
      <c r="E82" s="9">
        <v>35</v>
      </c>
      <c r="F82">
        <f t="shared" si="1"/>
        <v>12145</v>
      </c>
    </row>
    <row r="83" spans="1:6" ht="15.75" thickBot="1" x14ac:dyDescent="0.3">
      <c r="A83" s="7">
        <v>45473</v>
      </c>
      <c r="B83" s="8" t="s">
        <v>36</v>
      </c>
      <c r="C83" s="8" t="s">
        <v>38</v>
      </c>
      <c r="D83" s="9">
        <v>319</v>
      </c>
      <c r="E83" s="9">
        <v>45</v>
      </c>
      <c r="F83">
        <f t="shared" si="1"/>
        <v>14355</v>
      </c>
    </row>
    <row r="85" spans="1:6" x14ac:dyDescent="0.25">
      <c r="A85" t="s">
        <v>70</v>
      </c>
      <c r="B85" t="s">
        <v>71</v>
      </c>
    </row>
    <row r="87" spans="1:6" x14ac:dyDescent="0.25">
      <c r="A87" t="s">
        <v>50</v>
      </c>
      <c r="B87" t="s">
        <v>73</v>
      </c>
    </row>
    <row r="88" spans="1:6" x14ac:dyDescent="0.25">
      <c r="B88" t="s">
        <v>72</v>
      </c>
    </row>
    <row r="89" spans="1:6" ht="15.75" thickBot="1" x14ac:dyDescent="0.3">
      <c r="B89" s="17"/>
    </row>
    <row r="90" spans="1:6" ht="18" x14ac:dyDescent="0.25">
      <c r="A90">
        <v>1</v>
      </c>
      <c r="B90" s="1" t="s">
        <v>74</v>
      </c>
    </row>
    <row r="91" spans="1:6" x14ac:dyDescent="0.25">
      <c r="B91" t="s">
        <v>75</v>
      </c>
      <c r="C91" s="16"/>
    </row>
    <row r="92" spans="1:6" x14ac:dyDescent="0.25">
      <c r="B92" s="2" t="s">
        <v>76</v>
      </c>
    </row>
    <row r="93" spans="1:6" x14ac:dyDescent="0.25">
      <c r="B93" s="2" t="s">
        <v>77</v>
      </c>
    </row>
    <row r="95" spans="1:6" ht="18" x14ac:dyDescent="0.25">
      <c r="A95">
        <v>2</v>
      </c>
      <c r="B95" s="1" t="s">
        <v>78</v>
      </c>
    </row>
    <row r="96" spans="1:6" x14ac:dyDescent="0.25">
      <c r="B96" t="s">
        <v>79</v>
      </c>
    </row>
    <row r="97" spans="1:2" x14ac:dyDescent="0.25">
      <c r="B97" s="2" t="s">
        <v>80</v>
      </c>
    </row>
    <row r="98" spans="1:2" x14ac:dyDescent="0.25">
      <c r="B98" s="2" t="s">
        <v>81</v>
      </c>
    </row>
    <row r="99" spans="1:2" x14ac:dyDescent="0.25">
      <c r="B99" s="2" t="s">
        <v>82</v>
      </c>
    </row>
    <row r="100" spans="1:2" x14ac:dyDescent="0.25">
      <c r="B100" s="2"/>
    </row>
    <row r="101" spans="1:2" ht="18" x14ac:dyDescent="0.25">
      <c r="A101">
        <v>3</v>
      </c>
      <c r="B101" s="1" t="s">
        <v>83</v>
      </c>
    </row>
    <row r="102" spans="1:2" x14ac:dyDescent="0.25">
      <c r="B102" t="s">
        <v>84</v>
      </c>
    </row>
    <row r="103" spans="1:2" x14ac:dyDescent="0.25">
      <c r="B103" s="2" t="s">
        <v>85</v>
      </c>
    </row>
    <row r="104" spans="1:2" x14ac:dyDescent="0.25">
      <c r="B104" s="2" t="s">
        <v>86</v>
      </c>
    </row>
    <row r="105" spans="1:2" x14ac:dyDescent="0.25">
      <c r="B105" s="2" t="s">
        <v>87</v>
      </c>
    </row>
    <row r="106" spans="1:2" x14ac:dyDescent="0.25">
      <c r="B106" s="2"/>
    </row>
    <row r="107" spans="1:2" ht="18" x14ac:dyDescent="0.25">
      <c r="A107">
        <v>4</v>
      </c>
      <c r="B107" s="1" t="s">
        <v>88</v>
      </c>
    </row>
    <row r="108" spans="1:2" x14ac:dyDescent="0.25">
      <c r="B108" t="s">
        <v>89</v>
      </c>
    </row>
    <row r="109" spans="1:2" x14ac:dyDescent="0.25">
      <c r="B109" s="2" t="s">
        <v>90</v>
      </c>
    </row>
    <row r="110" spans="1:2" x14ac:dyDescent="0.25">
      <c r="B110" s="2" t="s">
        <v>91</v>
      </c>
    </row>
    <row r="111" spans="1:2" x14ac:dyDescent="0.25">
      <c r="B111" s="2" t="s">
        <v>92</v>
      </c>
    </row>
    <row r="112" spans="1:2" x14ac:dyDescent="0.25">
      <c r="B112" s="2"/>
    </row>
    <row r="113" spans="1:2" ht="18" x14ac:dyDescent="0.25">
      <c r="A113">
        <v>5</v>
      </c>
      <c r="B113" s="1" t="s">
        <v>93</v>
      </c>
    </row>
    <row r="114" spans="1:2" x14ac:dyDescent="0.25">
      <c r="B114" s="2" t="s">
        <v>94</v>
      </c>
    </row>
    <row r="115" spans="1:2" x14ac:dyDescent="0.25">
      <c r="B115" s="2" t="s">
        <v>95</v>
      </c>
    </row>
    <row r="116" spans="1:2" x14ac:dyDescent="0.25">
      <c r="B116" s="2" t="s">
        <v>96</v>
      </c>
    </row>
    <row r="118" spans="1:2" ht="18" x14ac:dyDescent="0.25">
      <c r="A118">
        <v>7</v>
      </c>
      <c r="B118" s="1" t="s">
        <v>97</v>
      </c>
    </row>
    <row r="119" spans="1:2" x14ac:dyDescent="0.25">
      <c r="B119" t="s">
        <v>98</v>
      </c>
    </row>
    <row r="120" spans="1:2" x14ac:dyDescent="0.25">
      <c r="B120" s="2" t="s">
        <v>99</v>
      </c>
    </row>
    <row r="121" spans="1:2" x14ac:dyDescent="0.25">
      <c r="B121" s="2" t="s">
        <v>100</v>
      </c>
    </row>
    <row r="123" spans="1:2" x14ac:dyDescent="0.25">
      <c r="B123" s="2"/>
    </row>
  </sheetData>
  <conditionalFormatting sqref="D63:D83">
    <cfRule type="cellIs" dxfId="1" priority="1" operator="greaterThan">
      <formula>400</formula>
    </cfRule>
    <cfRule type="cellIs" dxfId="0" priority="2" operator="greaterThan">
      <formula>400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645AC-C709-4FA3-A64A-C17F019AB645}">
  <dimension ref="A1:E62"/>
  <sheetViews>
    <sheetView workbookViewId="0">
      <selection activeCell="G42" sqref="G42"/>
    </sheetView>
  </sheetViews>
  <sheetFormatPr defaultRowHeight="15" x14ac:dyDescent="0.25"/>
  <cols>
    <col min="1" max="1" width="15.140625" customWidth="1"/>
    <col min="2" max="2" width="98.140625" customWidth="1"/>
    <col min="6" max="6" width="11.5703125" customWidth="1"/>
  </cols>
  <sheetData>
    <row r="1" spans="1:5" x14ac:dyDescent="0.25">
      <c r="A1" t="s">
        <v>48</v>
      </c>
      <c r="B1" t="s">
        <v>49</v>
      </c>
    </row>
    <row r="2" spans="1:5" x14ac:dyDescent="0.25">
      <c r="A2" t="s">
        <v>50</v>
      </c>
    </row>
    <row r="3" spans="1:5" x14ac:dyDescent="0.25">
      <c r="B3" s="14" t="s">
        <v>51</v>
      </c>
    </row>
    <row r="4" spans="1:5" x14ac:dyDescent="0.25">
      <c r="B4" t="s">
        <v>52</v>
      </c>
    </row>
    <row r="6" spans="1:5" ht="18" x14ac:dyDescent="0.25">
      <c r="B6" s="1" t="s">
        <v>53</v>
      </c>
    </row>
    <row r="7" spans="1:5" x14ac:dyDescent="0.25">
      <c r="B7" t="s">
        <v>54</v>
      </c>
    </row>
    <row r="8" spans="1:5" ht="15.75" thickBot="1" x14ac:dyDescent="0.3"/>
    <row r="9" spans="1:5" ht="15.75" thickBot="1" x14ac:dyDescent="0.3">
      <c r="A9" s="5" t="s">
        <v>29</v>
      </c>
      <c r="B9" s="6" t="s">
        <v>30</v>
      </c>
      <c r="C9" s="6" t="s">
        <v>31</v>
      </c>
      <c r="D9" s="6" t="s">
        <v>32</v>
      </c>
      <c r="E9" s="6" t="s">
        <v>33</v>
      </c>
    </row>
    <row r="10" spans="1:5" ht="15.75" thickBot="1" x14ac:dyDescent="0.3">
      <c r="A10" s="7">
        <v>45292</v>
      </c>
      <c r="B10" s="8" t="s">
        <v>34</v>
      </c>
      <c r="C10" s="8" t="s">
        <v>35</v>
      </c>
      <c r="D10" s="9">
        <v>497</v>
      </c>
      <c r="E10" s="9">
        <v>93</v>
      </c>
    </row>
    <row r="11" spans="1:5" ht="15.75" thickBot="1" x14ac:dyDescent="0.3">
      <c r="A11" s="7">
        <v>45301.526319444441</v>
      </c>
      <c r="B11" s="8" t="s">
        <v>36</v>
      </c>
      <c r="C11" s="8" t="s">
        <v>37</v>
      </c>
      <c r="D11" s="9">
        <v>483</v>
      </c>
      <c r="E11" s="9">
        <v>56</v>
      </c>
    </row>
    <row r="12" spans="1:5" ht="15.75" thickBot="1" x14ac:dyDescent="0.3">
      <c r="A12" s="7">
        <v>45311.052627314813</v>
      </c>
      <c r="B12" s="8" t="s">
        <v>36</v>
      </c>
      <c r="C12" s="8" t="s">
        <v>35</v>
      </c>
      <c r="D12" s="9">
        <v>467</v>
      </c>
      <c r="E12" s="9">
        <v>76</v>
      </c>
    </row>
    <row r="13" spans="1:5" ht="15.75" thickBot="1" x14ac:dyDescent="0.3">
      <c r="A13" s="7">
        <v>45320.578946759262</v>
      </c>
      <c r="B13" s="8" t="s">
        <v>34</v>
      </c>
      <c r="C13" s="8" t="s">
        <v>38</v>
      </c>
      <c r="D13" s="9">
        <v>456</v>
      </c>
      <c r="E13" s="9">
        <v>37</v>
      </c>
    </row>
    <row r="14" spans="1:5" ht="15.75" thickBot="1" x14ac:dyDescent="0.3">
      <c r="A14" s="7">
        <v>45330.105266203704</v>
      </c>
      <c r="B14" s="8" t="s">
        <v>34</v>
      </c>
      <c r="C14" s="8" t="s">
        <v>35</v>
      </c>
      <c r="D14" s="9">
        <v>441</v>
      </c>
      <c r="E14" s="9">
        <v>50</v>
      </c>
    </row>
    <row r="15" spans="1:5" ht="15.75" thickBot="1" x14ac:dyDescent="0.3">
      <c r="A15" s="7">
        <v>45339.631574074076</v>
      </c>
      <c r="B15" s="8" t="s">
        <v>34</v>
      </c>
      <c r="C15" s="8" t="s">
        <v>37</v>
      </c>
      <c r="D15" s="9">
        <v>441</v>
      </c>
      <c r="E15" s="9">
        <v>52</v>
      </c>
    </row>
    <row r="16" spans="1:5" ht="15.75" thickBot="1" x14ac:dyDescent="0.3">
      <c r="A16" s="7">
        <v>45349.157893518517</v>
      </c>
      <c r="B16" s="8" t="s">
        <v>36</v>
      </c>
      <c r="C16" s="8" t="s">
        <v>38</v>
      </c>
      <c r="D16" s="9">
        <v>417</v>
      </c>
      <c r="E16" s="9">
        <v>29</v>
      </c>
    </row>
    <row r="17" spans="1:5" ht="15.75" thickBot="1" x14ac:dyDescent="0.3">
      <c r="A17" s="7">
        <v>45358.684212962966</v>
      </c>
      <c r="B17" s="8" t="s">
        <v>34</v>
      </c>
      <c r="C17" s="8" t="s">
        <v>38</v>
      </c>
      <c r="D17" s="9">
        <v>409</v>
      </c>
      <c r="E17" s="9">
        <v>44</v>
      </c>
    </row>
    <row r="18" spans="1:5" ht="15.75" thickBot="1" x14ac:dyDescent="0.3">
      <c r="A18" s="7">
        <v>45368.210520833331</v>
      </c>
      <c r="B18" s="8" t="s">
        <v>36</v>
      </c>
      <c r="C18" s="8" t="s">
        <v>35</v>
      </c>
      <c r="D18" s="9">
        <v>398</v>
      </c>
      <c r="E18" s="9">
        <v>63</v>
      </c>
    </row>
    <row r="19" spans="1:5" ht="15.75" thickBot="1" x14ac:dyDescent="0.3">
      <c r="A19" s="7">
        <v>45377.736840277779</v>
      </c>
      <c r="B19" s="8" t="s">
        <v>34</v>
      </c>
      <c r="C19" s="8" t="s">
        <v>37</v>
      </c>
      <c r="D19" s="9">
        <v>380</v>
      </c>
      <c r="E19" s="9">
        <v>79</v>
      </c>
    </row>
    <row r="20" spans="1:5" ht="15.75" thickBot="1" x14ac:dyDescent="0.3">
      <c r="A20" s="7">
        <v>45387.263159722221</v>
      </c>
      <c r="B20" s="8" t="s">
        <v>36</v>
      </c>
      <c r="C20" s="8" t="s">
        <v>35</v>
      </c>
      <c r="D20" s="9">
        <v>348</v>
      </c>
      <c r="E20" s="9">
        <v>23</v>
      </c>
    </row>
    <row r="21" spans="1:5" ht="15.75" thickBot="1" x14ac:dyDescent="0.3">
      <c r="A21" s="7">
        <v>45396.789479166669</v>
      </c>
      <c r="B21" s="8" t="s">
        <v>34</v>
      </c>
      <c r="C21" s="8" t="s">
        <v>37</v>
      </c>
      <c r="D21" s="9">
        <v>347</v>
      </c>
      <c r="E21" s="9">
        <v>97</v>
      </c>
    </row>
    <row r="22" spans="1:5" ht="15.75" thickBot="1" x14ac:dyDescent="0.3">
      <c r="A22" s="7">
        <v>45406.315787037034</v>
      </c>
      <c r="B22" s="8" t="s">
        <v>39</v>
      </c>
      <c r="C22" s="8" t="s">
        <v>35</v>
      </c>
      <c r="D22" s="9">
        <v>334</v>
      </c>
      <c r="E22" s="9">
        <v>97</v>
      </c>
    </row>
    <row r="23" spans="1:5" ht="15.75" thickBot="1" x14ac:dyDescent="0.3">
      <c r="A23" s="7">
        <v>45415.842106481483</v>
      </c>
      <c r="B23" s="8" t="s">
        <v>34</v>
      </c>
      <c r="C23" s="8" t="s">
        <v>35</v>
      </c>
      <c r="D23" s="9">
        <v>319</v>
      </c>
      <c r="E23" s="9">
        <v>92</v>
      </c>
    </row>
    <row r="24" spans="1:5" ht="15.75" thickBot="1" x14ac:dyDescent="0.3">
      <c r="A24" s="7">
        <v>45425.368425925924</v>
      </c>
      <c r="B24" s="8" t="s">
        <v>36</v>
      </c>
      <c r="C24" s="8" t="s">
        <v>37</v>
      </c>
      <c r="D24" s="9">
        <v>281</v>
      </c>
      <c r="E24" s="9">
        <v>71</v>
      </c>
    </row>
    <row r="25" spans="1:5" ht="15.75" thickBot="1" x14ac:dyDescent="0.3">
      <c r="A25" s="7">
        <v>45434.894733796296</v>
      </c>
      <c r="B25" s="8" t="s">
        <v>36</v>
      </c>
      <c r="C25" s="8" t="s">
        <v>35</v>
      </c>
      <c r="D25" s="9">
        <v>247</v>
      </c>
      <c r="E25" s="9">
        <v>81</v>
      </c>
    </row>
    <row r="26" spans="1:5" ht="15.75" thickBot="1" x14ac:dyDescent="0.3">
      <c r="A26" s="7">
        <v>45444.421053240738</v>
      </c>
      <c r="B26" s="8" t="s">
        <v>34</v>
      </c>
      <c r="C26" s="8" t="s">
        <v>37</v>
      </c>
      <c r="D26" s="9">
        <v>230</v>
      </c>
      <c r="E26" s="9">
        <v>45</v>
      </c>
    </row>
    <row r="27" spans="1:5" ht="15.75" thickBot="1" x14ac:dyDescent="0.3">
      <c r="A27" s="7">
        <v>45453.947372685187</v>
      </c>
      <c r="B27" s="8" t="s">
        <v>34</v>
      </c>
      <c r="C27" s="8" t="s">
        <v>38</v>
      </c>
      <c r="D27" s="9">
        <v>205</v>
      </c>
      <c r="E27" s="9">
        <v>33</v>
      </c>
    </row>
    <row r="28" spans="1:5" ht="15.75" thickBot="1" x14ac:dyDescent="0.3">
      <c r="A28" s="7">
        <v>45463.473680555559</v>
      </c>
      <c r="B28" s="8" t="s">
        <v>40</v>
      </c>
      <c r="C28" s="8" t="s">
        <v>37</v>
      </c>
      <c r="D28" s="9">
        <v>76</v>
      </c>
      <c r="E28" s="9">
        <v>35</v>
      </c>
    </row>
    <row r="29" spans="1:5" ht="15.75" thickBot="1" x14ac:dyDescent="0.3">
      <c r="A29" s="7">
        <v>45473</v>
      </c>
      <c r="B29" s="8" t="s">
        <v>36</v>
      </c>
      <c r="C29" s="8" t="s">
        <v>38</v>
      </c>
      <c r="D29" s="9">
        <v>53</v>
      </c>
      <c r="E29" s="9">
        <v>45</v>
      </c>
    </row>
    <row r="31" spans="1:5" x14ac:dyDescent="0.25">
      <c r="B31" t="s">
        <v>55</v>
      </c>
    </row>
    <row r="32" spans="1:5" x14ac:dyDescent="0.25">
      <c r="B32" t="s">
        <v>56</v>
      </c>
    </row>
    <row r="35" spans="1:5" ht="15.75" thickBot="1" x14ac:dyDescent="0.3"/>
    <row r="36" spans="1:5" ht="15.75" thickBot="1" x14ac:dyDescent="0.3">
      <c r="A36" s="5" t="s">
        <v>29</v>
      </c>
      <c r="B36" s="6" t="s">
        <v>30</v>
      </c>
      <c r="C36" s="6" t="s">
        <v>31</v>
      </c>
      <c r="D36" s="6" t="s">
        <v>32</v>
      </c>
      <c r="E36" s="6" t="s">
        <v>33</v>
      </c>
    </row>
    <row r="37" spans="1:5" ht="15.75" thickBot="1" x14ac:dyDescent="0.3">
      <c r="A37" s="7">
        <v>45292</v>
      </c>
      <c r="B37" s="8" t="s">
        <v>34</v>
      </c>
      <c r="C37" s="8" t="s">
        <v>35</v>
      </c>
      <c r="D37" s="9">
        <v>497</v>
      </c>
      <c r="E37" s="9">
        <v>93</v>
      </c>
    </row>
    <row r="38" spans="1:5" ht="15.75" thickBot="1" x14ac:dyDescent="0.3">
      <c r="A38" s="7">
        <v>45301.526319444441</v>
      </c>
      <c r="B38" s="8" t="s">
        <v>36</v>
      </c>
      <c r="C38" s="8" t="s">
        <v>37</v>
      </c>
      <c r="D38" s="9">
        <v>483</v>
      </c>
      <c r="E38" s="9">
        <v>56</v>
      </c>
    </row>
    <row r="39" spans="1:5" ht="15.75" thickBot="1" x14ac:dyDescent="0.3">
      <c r="A39" s="7">
        <v>45311.052627314813</v>
      </c>
      <c r="B39" s="8" t="s">
        <v>36</v>
      </c>
      <c r="C39" s="8" t="s">
        <v>35</v>
      </c>
      <c r="D39" s="9">
        <v>467</v>
      </c>
      <c r="E39" s="9">
        <v>76</v>
      </c>
    </row>
    <row r="40" spans="1:5" ht="15.75" thickBot="1" x14ac:dyDescent="0.3">
      <c r="A40" s="7">
        <v>45320.578946759262</v>
      </c>
      <c r="B40" s="8" t="s">
        <v>34</v>
      </c>
      <c r="C40" s="8" t="s">
        <v>38</v>
      </c>
      <c r="D40" s="9">
        <v>456</v>
      </c>
      <c r="E40" s="9">
        <v>37</v>
      </c>
    </row>
    <row r="41" spans="1:5" ht="15.75" thickBot="1" x14ac:dyDescent="0.3">
      <c r="A41" s="7">
        <v>45330.105266203704</v>
      </c>
      <c r="B41" s="8" t="s">
        <v>34</v>
      </c>
      <c r="C41" s="8" t="s">
        <v>35</v>
      </c>
      <c r="D41" s="9">
        <v>441</v>
      </c>
      <c r="E41" s="9">
        <v>50</v>
      </c>
    </row>
    <row r="42" spans="1:5" ht="15.75" thickBot="1" x14ac:dyDescent="0.3">
      <c r="A42" s="7">
        <v>45339.631574074076</v>
      </c>
      <c r="B42" s="8" t="s">
        <v>34</v>
      </c>
      <c r="C42" s="8" t="s">
        <v>37</v>
      </c>
      <c r="D42" s="9">
        <v>441</v>
      </c>
      <c r="E42" s="9">
        <v>52</v>
      </c>
    </row>
    <row r="43" spans="1:5" ht="15.75" thickBot="1" x14ac:dyDescent="0.3">
      <c r="A43" s="7">
        <v>45349.157893518517</v>
      </c>
      <c r="B43" s="8" t="s">
        <v>36</v>
      </c>
      <c r="C43" s="8" t="s">
        <v>38</v>
      </c>
      <c r="D43" s="9">
        <v>417</v>
      </c>
      <c r="E43" s="9">
        <v>29</v>
      </c>
    </row>
    <row r="44" spans="1:5" ht="15.75" thickBot="1" x14ac:dyDescent="0.3">
      <c r="A44" s="7">
        <v>45358.684212962966</v>
      </c>
      <c r="B44" s="8" t="s">
        <v>34</v>
      </c>
      <c r="C44" s="8" t="s">
        <v>38</v>
      </c>
      <c r="D44" s="9">
        <v>409</v>
      </c>
      <c r="E44" s="9">
        <v>44</v>
      </c>
    </row>
    <row r="45" spans="1:5" ht="15.75" thickBot="1" x14ac:dyDescent="0.3">
      <c r="A45" s="7">
        <v>45368.210520833331</v>
      </c>
      <c r="B45" s="8" t="s">
        <v>36</v>
      </c>
      <c r="C45" s="8" t="s">
        <v>35</v>
      </c>
      <c r="D45" s="9">
        <v>398</v>
      </c>
      <c r="E45" s="9">
        <v>63</v>
      </c>
    </row>
    <row r="46" spans="1:5" ht="15.75" thickBot="1" x14ac:dyDescent="0.3">
      <c r="A46" s="7">
        <v>45377.736840277779</v>
      </c>
      <c r="B46" s="8" t="s">
        <v>34</v>
      </c>
      <c r="C46" s="8" t="s">
        <v>37</v>
      </c>
      <c r="D46" s="9">
        <v>380</v>
      </c>
      <c r="E46" s="9">
        <v>79</v>
      </c>
    </row>
    <row r="47" spans="1:5" ht="15.75" thickBot="1" x14ac:dyDescent="0.3">
      <c r="A47" s="7">
        <v>45387.263159722221</v>
      </c>
      <c r="B47" s="8" t="s">
        <v>36</v>
      </c>
      <c r="C47" s="8" t="s">
        <v>35</v>
      </c>
      <c r="D47" s="9">
        <v>348</v>
      </c>
      <c r="E47" s="9">
        <v>23</v>
      </c>
    </row>
    <row r="48" spans="1:5" ht="15.75" thickBot="1" x14ac:dyDescent="0.3">
      <c r="A48" s="7">
        <v>45396.789479166669</v>
      </c>
      <c r="B48" s="8" t="s">
        <v>34</v>
      </c>
      <c r="C48" s="8" t="s">
        <v>37</v>
      </c>
      <c r="D48" s="9">
        <v>347</v>
      </c>
      <c r="E48" s="9">
        <v>97</v>
      </c>
    </row>
    <row r="49" spans="1:5" ht="15.75" thickBot="1" x14ac:dyDescent="0.3">
      <c r="A49" s="7">
        <v>45406.315787037034</v>
      </c>
      <c r="B49" s="8" t="s">
        <v>39</v>
      </c>
      <c r="C49" s="8" t="s">
        <v>35</v>
      </c>
      <c r="D49" s="9">
        <v>334</v>
      </c>
      <c r="E49" s="9">
        <v>97</v>
      </c>
    </row>
    <row r="50" spans="1:5" ht="15.75" thickBot="1" x14ac:dyDescent="0.3">
      <c r="A50" s="7">
        <v>45415.842106481483</v>
      </c>
      <c r="B50" s="8" t="s">
        <v>34</v>
      </c>
      <c r="C50" s="8" t="s">
        <v>35</v>
      </c>
      <c r="D50" s="9">
        <v>319</v>
      </c>
      <c r="E50" s="9">
        <v>92</v>
      </c>
    </row>
    <row r="51" spans="1:5" ht="15.75" thickBot="1" x14ac:dyDescent="0.3">
      <c r="A51" s="7">
        <v>45425.368425925924</v>
      </c>
      <c r="B51" s="8" t="s">
        <v>36</v>
      </c>
      <c r="C51" s="8" t="s">
        <v>37</v>
      </c>
      <c r="D51" s="9">
        <v>281</v>
      </c>
      <c r="E51" s="9">
        <v>71</v>
      </c>
    </row>
    <row r="52" spans="1:5" ht="15.75" thickBot="1" x14ac:dyDescent="0.3">
      <c r="A52" s="7">
        <v>45434.894733796296</v>
      </c>
      <c r="B52" s="8" t="s">
        <v>36</v>
      </c>
      <c r="C52" s="8" t="s">
        <v>35</v>
      </c>
      <c r="D52" s="9">
        <v>247</v>
      </c>
      <c r="E52" s="9">
        <v>81</v>
      </c>
    </row>
    <row r="53" spans="1:5" ht="15.75" thickBot="1" x14ac:dyDescent="0.3">
      <c r="A53" s="7">
        <v>45444.421053240738</v>
      </c>
      <c r="B53" s="8" t="s">
        <v>34</v>
      </c>
      <c r="C53" s="8" t="s">
        <v>37</v>
      </c>
      <c r="D53" s="9">
        <v>230</v>
      </c>
      <c r="E53" s="9">
        <v>45</v>
      </c>
    </row>
    <row r="54" spans="1:5" ht="15.75" thickBot="1" x14ac:dyDescent="0.3">
      <c r="A54" s="7">
        <v>45453.947372685187</v>
      </c>
      <c r="B54" s="8" t="s">
        <v>34</v>
      </c>
      <c r="C54" s="8" t="s">
        <v>38</v>
      </c>
      <c r="D54" s="9">
        <v>205</v>
      </c>
      <c r="E54" s="9">
        <v>33</v>
      </c>
    </row>
    <row r="55" spans="1:5" ht="15.75" thickBot="1" x14ac:dyDescent="0.3">
      <c r="A55" s="7">
        <v>45463.473680555559</v>
      </c>
      <c r="B55" s="8" t="s">
        <v>40</v>
      </c>
      <c r="C55" s="8" t="s">
        <v>37</v>
      </c>
      <c r="D55" s="9">
        <v>76</v>
      </c>
      <c r="E55" s="9">
        <v>35</v>
      </c>
    </row>
    <row r="56" spans="1:5" ht="15.75" thickBot="1" x14ac:dyDescent="0.3">
      <c r="A56" s="7">
        <v>45473</v>
      </c>
      <c r="B56" s="8" t="s">
        <v>36</v>
      </c>
      <c r="C56" s="8" t="s">
        <v>38</v>
      </c>
      <c r="D56" s="9">
        <v>53</v>
      </c>
      <c r="E56" s="9">
        <v>45</v>
      </c>
    </row>
    <row r="58" spans="1:5" x14ac:dyDescent="0.25">
      <c r="B58" s="14" t="s">
        <v>57</v>
      </c>
    </row>
    <row r="59" spans="1:5" x14ac:dyDescent="0.25">
      <c r="B59" t="s">
        <v>58</v>
      </c>
    </row>
    <row r="61" spans="1:5" x14ac:dyDescent="0.25">
      <c r="B61" t="s">
        <v>59</v>
      </c>
    </row>
    <row r="62" spans="1:5" x14ac:dyDescent="0.25">
      <c r="B62" t="s">
        <v>60</v>
      </c>
    </row>
  </sheetData>
  <autoFilter ref="C36:C56" xr:uid="{841645AC-C709-4FA3-A64A-C17F019AB645}"/>
  <sortState xmlns:xlrd2="http://schemas.microsoft.com/office/spreadsheetml/2017/richdata2" ref="D10:D29">
    <sortCondition descending="1" ref="D10:D29"/>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35C8A-3AAE-4602-BB75-279AA72E9527}">
  <dimension ref="A1:B26"/>
  <sheetViews>
    <sheetView tabSelected="1" workbookViewId="0">
      <selection activeCell="F6" sqref="F6"/>
    </sheetView>
  </sheetViews>
  <sheetFormatPr defaultRowHeight="15" x14ac:dyDescent="0.25"/>
  <cols>
    <col min="1" max="1" width="13.140625" bestFit="1" customWidth="1"/>
    <col min="2" max="2" width="89.42578125" customWidth="1"/>
  </cols>
  <sheetData>
    <row r="1" spans="1:2" x14ac:dyDescent="0.25">
      <c r="A1" t="s">
        <v>28</v>
      </c>
      <c r="B1" s="13" t="s">
        <v>45</v>
      </c>
    </row>
    <row r="2" spans="1:2" x14ac:dyDescent="0.25">
      <c r="A2" t="s">
        <v>2</v>
      </c>
    </row>
    <row r="3" spans="1:2" x14ac:dyDescent="0.25">
      <c r="A3" s="11" t="s">
        <v>42</v>
      </c>
      <c r="B3" t="s">
        <v>44</v>
      </c>
    </row>
    <row r="4" spans="1:2" x14ac:dyDescent="0.25">
      <c r="A4" s="12" t="s">
        <v>39</v>
      </c>
      <c r="B4">
        <v>45299</v>
      </c>
    </row>
    <row r="5" spans="1:2" x14ac:dyDescent="0.25">
      <c r="A5" s="12" t="s">
        <v>40</v>
      </c>
      <c r="B5">
        <v>12145</v>
      </c>
    </row>
    <row r="6" spans="1:2" x14ac:dyDescent="0.25">
      <c r="A6" s="12" t="s">
        <v>36</v>
      </c>
      <c r="B6">
        <v>142627</v>
      </c>
    </row>
    <row r="7" spans="1:2" x14ac:dyDescent="0.25">
      <c r="A7" s="12" t="s">
        <v>34</v>
      </c>
      <c r="B7">
        <v>233909</v>
      </c>
    </row>
    <row r="8" spans="1:2" x14ac:dyDescent="0.25">
      <c r="A8" s="12" t="s">
        <v>43</v>
      </c>
      <c r="B8">
        <v>433980</v>
      </c>
    </row>
    <row r="10" spans="1:2" x14ac:dyDescent="0.25">
      <c r="A10" t="s">
        <v>68</v>
      </c>
      <c r="B10" t="s">
        <v>69</v>
      </c>
    </row>
    <row r="11" spans="1:2" x14ac:dyDescent="0.25">
      <c r="A11" t="s">
        <v>50</v>
      </c>
    </row>
    <row r="12" spans="1:2" x14ac:dyDescent="0.25">
      <c r="A12" s="11" t="s">
        <v>42</v>
      </c>
      <c r="B12" t="s">
        <v>67</v>
      </c>
    </row>
    <row r="13" spans="1:2" x14ac:dyDescent="0.25">
      <c r="A13" s="12" t="s">
        <v>61</v>
      </c>
      <c r="B13">
        <v>1281</v>
      </c>
    </row>
    <row r="14" spans="1:2" x14ac:dyDescent="0.25">
      <c r="A14" s="12" t="s">
        <v>62</v>
      </c>
      <c r="B14">
        <v>1032</v>
      </c>
    </row>
    <row r="15" spans="1:2" x14ac:dyDescent="0.25">
      <c r="A15" s="12" t="s">
        <v>63</v>
      </c>
      <c r="B15">
        <v>958</v>
      </c>
    </row>
    <row r="16" spans="1:2" x14ac:dyDescent="0.25">
      <c r="A16" s="12" t="s">
        <v>64</v>
      </c>
      <c r="B16">
        <v>1155</v>
      </c>
    </row>
    <row r="17" spans="1:2" x14ac:dyDescent="0.25">
      <c r="A17" s="12" t="s">
        <v>65</v>
      </c>
      <c r="B17">
        <v>1286</v>
      </c>
    </row>
    <row r="18" spans="1:2" x14ac:dyDescent="0.25">
      <c r="A18" s="12" t="s">
        <v>66</v>
      </c>
      <c r="B18">
        <v>1117</v>
      </c>
    </row>
    <row r="19" spans="1:2" x14ac:dyDescent="0.25">
      <c r="A19" s="12" t="s">
        <v>43</v>
      </c>
      <c r="B19">
        <v>6829</v>
      </c>
    </row>
    <row r="24" spans="1:2" x14ac:dyDescent="0.25">
      <c r="A24" t="s">
        <v>113</v>
      </c>
      <c r="B24" t="s">
        <v>114</v>
      </c>
    </row>
    <row r="26" spans="1:2" x14ac:dyDescent="0.25">
      <c r="A26" t="s">
        <v>50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F6A70-F1D0-4AB6-8524-91BFB06A7B69}">
  <dimension ref="A1:B36"/>
  <sheetViews>
    <sheetView topLeftCell="A22" workbookViewId="0">
      <selection activeCell="K16" sqref="K16"/>
    </sheetView>
  </sheetViews>
  <sheetFormatPr defaultRowHeight="15" x14ac:dyDescent="0.25"/>
  <cols>
    <col min="1" max="1" width="13.140625" bestFit="1" customWidth="1"/>
    <col min="2" max="2" width="12.140625" bestFit="1" customWidth="1"/>
  </cols>
  <sheetData>
    <row r="1" spans="1:2" x14ac:dyDescent="0.25">
      <c r="A1" t="s">
        <v>101</v>
      </c>
    </row>
    <row r="3" spans="1:2" x14ac:dyDescent="0.25">
      <c r="A3" s="11" t="s">
        <v>42</v>
      </c>
      <c r="B3" t="s">
        <v>67</v>
      </c>
    </row>
    <row r="4" spans="1:2" x14ac:dyDescent="0.25">
      <c r="A4" s="12" t="s">
        <v>39</v>
      </c>
      <c r="B4">
        <v>467</v>
      </c>
    </row>
    <row r="5" spans="1:2" x14ac:dyDescent="0.25">
      <c r="A5" s="12" t="s">
        <v>40</v>
      </c>
      <c r="B5">
        <v>347</v>
      </c>
    </row>
    <row r="6" spans="1:2" x14ac:dyDescent="0.25">
      <c r="A6" s="12" t="s">
        <v>36</v>
      </c>
      <c r="B6">
        <v>2518</v>
      </c>
    </row>
    <row r="7" spans="1:2" x14ac:dyDescent="0.25">
      <c r="A7" s="12" t="s">
        <v>34</v>
      </c>
      <c r="B7">
        <v>3497</v>
      </c>
    </row>
    <row r="8" spans="1:2" x14ac:dyDescent="0.25">
      <c r="A8" s="12" t="s">
        <v>43</v>
      </c>
      <c r="B8">
        <v>6829</v>
      </c>
    </row>
    <row r="17" spans="1:2" x14ac:dyDescent="0.25">
      <c r="A17" s="11" t="s">
        <v>42</v>
      </c>
      <c r="B17" t="s">
        <v>67</v>
      </c>
    </row>
    <row r="18" spans="1:2" x14ac:dyDescent="0.25">
      <c r="A18" s="12" t="s">
        <v>61</v>
      </c>
      <c r="B18">
        <v>1281</v>
      </c>
    </row>
    <row r="19" spans="1:2" x14ac:dyDescent="0.25">
      <c r="A19" s="12" t="s">
        <v>62</v>
      </c>
      <c r="B19">
        <v>1032</v>
      </c>
    </row>
    <row r="20" spans="1:2" x14ac:dyDescent="0.25">
      <c r="A20" s="12" t="s">
        <v>63</v>
      </c>
      <c r="B20">
        <v>958</v>
      </c>
    </row>
    <row r="21" spans="1:2" x14ac:dyDescent="0.25">
      <c r="A21" s="12" t="s">
        <v>64</v>
      </c>
      <c r="B21">
        <v>1155</v>
      </c>
    </row>
    <row r="22" spans="1:2" x14ac:dyDescent="0.25">
      <c r="A22" s="12" t="s">
        <v>65</v>
      </c>
      <c r="B22">
        <v>1286</v>
      </c>
    </row>
    <row r="23" spans="1:2" x14ac:dyDescent="0.25">
      <c r="A23" s="12" t="s">
        <v>66</v>
      </c>
      <c r="B23">
        <v>1117</v>
      </c>
    </row>
    <row r="24" spans="1:2" x14ac:dyDescent="0.25">
      <c r="A24" s="12" t="s">
        <v>43</v>
      </c>
      <c r="B24">
        <v>6829</v>
      </c>
    </row>
    <row r="30" spans="1:2" x14ac:dyDescent="0.25">
      <c r="A30" t="s">
        <v>108</v>
      </c>
      <c r="B30" t="s">
        <v>109</v>
      </c>
    </row>
    <row r="32" spans="1:2" x14ac:dyDescent="0.25">
      <c r="B32" t="s">
        <v>110</v>
      </c>
    </row>
    <row r="34" spans="2:2" x14ac:dyDescent="0.25">
      <c r="B34" t="s">
        <v>111</v>
      </c>
    </row>
    <row r="36" spans="2:2" x14ac:dyDescent="0.25">
      <c r="B36" t="s">
        <v>112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AB76A-1AA1-49A0-BD8A-54553D5256CC}">
  <dimension ref="A1:B19"/>
  <sheetViews>
    <sheetView workbookViewId="0">
      <selection activeCell="E17" sqref="E17"/>
    </sheetView>
  </sheetViews>
  <sheetFormatPr defaultRowHeight="15" x14ac:dyDescent="0.25"/>
  <cols>
    <col min="1" max="1" width="13.140625" bestFit="1" customWidth="1"/>
    <col min="2" max="2" width="12.140625" bestFit="1" customWidth="1"/>
  </cols>
  <sheetData>
    <row r="1" spans="1:2" x14ac:dyDescent="0.25">
      <c r="A1" t="s">
        <v>102</v>
      </c>
      <c r="B1" t="s">
        <v>103</v>
      </c>
    </row>
    <row r="3" spans="1:2" x14ac:dyDescent="0.25">
      <c r="A3" s="11" t="s">
        <v>42</v>
      </c>
      <c r="B3" t="s">
        <v>104</v>
      </c>
    </row>
    <row r="4" spans="1:2" x14ac:dyDescent="0.25">
      <c r="A4" s="12" t="s">
        <v>61</v>
      </c>
      <c r="B4">
        <v>320.25</v>
      </c>
    </row>
    <row r="5" spans="1:2" x14ac:dyDescent="0.25">
      <c r="A5" s="12" t="s">
        <v>62</v>
      </c>
      <c r="B5">
        <v>344</v>
      </c>
    </row>
    <row r="6" spans="1:2" x14ac:dyDescent="0.25">
      <c r="A6" s="12" t="s">
        <v>63</v>
      </c>
      <c r="B6">
        <v>319.33333333333331</v>
      </c>
    </row>
    <row r="7" spans="1:2" x14ac:dyDescent="0.25">
      <c r="A7" s="12" t="s">
        <v>64</v>
      </c>
      <c r="B7">
        <v>385</v>
      </c>
    </row>
    <row r="8" spans="1:2" x14ac:dyDescent="0.25">
      <c r="A8" s="12" t="s">
        <v>65</v>
      </c>
      <c r="B8">
        <v>428.66666666666669</v>
      </c>
    </row>
    <row r="9" spans="1:2" x14ac:dyDescent="0.25">
      <c r="A9" s="12" t="s">
        <v>66</v>
      </c>
      <c r="B9">
        <v>279.25</v>
      </c>
    </row>
    <row r="10" spans="1:2" x14ac:dyDescent="0.25">
      <c r="A10" s="12" t="s">
        <v>43</v>
      </c>
      <c r="B10">
        <v>341.45</v>
      </c>
    </row>
    <row r="12" spans="1:2" x14ac:dyDescent="0.25">
      <c r="A12" t="s">
        <v>105</v>
      </c>
      <c r="B12" t="s">
        <v>106</v>
      </c>
    </row>
    <row r="14" spans="1:2" x14ac:dyDescent="0.25">
      <c r="A14" s="11" t="s">
        <v>42</v>
      </c>
      <c r="B14" t="s">
        <v>67</v>
      </c>
    </row>
    <row r="15" spans="1:2" x14ac:dyDescent="0.25">
      <c r="A15" s="12" t="s">
        <v>107</v>
      </c>
      <c r="B15">
        <v>4308</v>
      </c>
    </row>
    <row r="16" spans="1:2" x14ac:dyDescent="0.25">
      <c r="A16" s="15" t="s">
        <v>38</v>
      </c>
      <c r="B16">
        <v>1805</v>
      </c>
    </row>
    <row r="17" spans="1:2" x14ac:dyDescent="0.25">
      <c r="A17" s="15" t="s">
        <v>37</v>
      </c>
      <c r="B17">
        <v>2503</v>
      </c>
    </row>
    <row r="18" spans="1:2" x14ac:dyDescent="0.25">
      <c r="A18" s="12" t="s">
        <v>35</v>
      </c>
      <c r="B18">
        <v>2521</v>
      </c>
    </row>
    <row r="19" spans="1:2" x14ac:dyDescent="0.25">
      <c r="A19" s="12" t="s">
        <v>43</v>
      </c>
      <c r="B19">
        <v>6829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2025-12-15T12:52:12Z</dcterms:created>
  <dcterms:modified xsi:type="dcterms:W3CDTF">2025-12-15T14:59:44Z</dcterms:modified>
</cp:coreProperties>
</file>