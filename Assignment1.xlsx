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Data Analytics\"/>
    </mc:Choice>
  </mc:AlternateContent>
  <xr:revisionPtr revIDLastSave="0" documentId="8_{0139DFDF-E9B2-4423-B2AC-D771E22817D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4" i="4" l="1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L5" i="2"/>
  <c r="L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B18" i="1"/>
  <c r="B12" i="1" a="1"/>
  <c r="B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<sst xmlns="http://schemas.openxmlformats.org/spreadsheetml/2006/main" count="416" uniqueCount="129">
  <si>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</si>
  <si>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</si>
  <si>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</si>
  <si>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</si>
  <si>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</si>
  <si>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</si>
  <si>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</si>
  <si>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</si>
  <si>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</si>
  <si>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</si>
  <si>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</si>
  <si>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</si>
  <si>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</si>
  <si>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</si>
  <si>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</si>
  <si>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</si>
  <si>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</si>
  <si>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</si>
  <si>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</si>
  <si>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</si>
  <si>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</si>
  <si>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</si>
  <si>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</si>
  <si>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</si>
  <si>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</si>
  <si>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</si>
  <si>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</si>
  <si>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</si>
  <si>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</si>
  <si>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</si>
  <si>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</si>
  <si>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</si>
  <si>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</si>
  <si>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</si>
  <si>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</si>
  <si>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</si>
  <si>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</si>
  <si>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</si>
  <si>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</si>
  <si>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</si>
  <si>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</si>
  <si>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</si>
  <si>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</si>
  <si>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</si>
  <si>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</si>
  <si>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</si>
  <si>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</si>
  <si>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</si>
  <si>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</si>
  <si>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</si>
  <si>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</si>
  <si>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</si>
  <si>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</si>
  <si>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</si>
  <si>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</si>
  <si>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</si>
  <si>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</si>
  <si>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</si>
  <si>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</si>
  <si>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</si>
  <si>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</si>
  <si>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</si>
  <si>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</si>
  <si>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</si>
  <si>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</si>
  <si>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</si>
  <si>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</si>
  <si>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</si>
  <si>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</si>
  <si>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</si>
  <si>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</si>
  <si>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</si>
  <si>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</si>
  <si>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</si>
  <si>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</si>
  <si>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</si>
  <si>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</si>
  <si>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</si>
  <si>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</si>
  <si>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</si>
  <si>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</si>
  <si>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</si>
  <si>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</si>
  <si>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</si>
  <si>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</si>
  <si>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</si>
  <si>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</si>
  <si>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</si>
  <si>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</si>
  <si>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</si>
  <si>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</si>
  <si>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</si>
  <si>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Q.1</t>
  </si>
  <si>
    <t>Explain the difference between Relative , Absolute and Mixed Cell Referencing. </t>
  </si>
  <si>
    <t>You have the following dataset:</t>
  </si>
  <si>
    <t>Ans</t>
  </si>
  <si>
    <t>2. Absoulte cell reference - Remains unchanged , no matter where the formula</t>
  </si>
  <si>
    <t>is copied.</t>
  </si>
  <si>
    <t>1.Relative cell reference - Changed based on the new location of the formula.</t>
  </si>
  <si>
    <t>3. Mixed cell referene - Only one paet(either the column or the row) is locked</t>
  </si>
  <si>
    <t>the other part adjusts with thw new location.</t>
  </si>
  <si>
    <t>Q.2</t>
  </si>
  <si>
    <t>Write a formula to calculate the total sales of Car and Bicyle only only.</t>
  </si>
  <si>
    <t>Vehicle</t>
  </si>
  <si>
    <t>Price</t>
  </si>
  <si>
    <t>Car</t>
  </si>
  <si>
    <t>Bicycle</t>
  </si>
  <si>
    <t>Auto-Rickshaw</t>
  </si>
  <si>
    <t>Ans.</t>
  </si>
  <si>
    <t>Q.3</t>
  </si>
  <si>
    <t xml:space="preserve">Using the data below, write a formula to calculate the average sales of items priced above 100 but less than </t>
  </si>
  <si>
    <t>Item</t>
  </si>
  <si>
    <t>Item A</t>
  </si>
  <si>
    <t>Item B</t>
  </si>
  <si>
    <t>Item C</t>
  </si>
  <si>
    <t>Sales</t>
  </si>
  <si>
    <t>Total Sales</t>
  </si>
  <si>
    <t>Q.4</t>
  </si>
  <si>
    <t>Count how many customer names are recorded.</t>
  </si>
  <si>
    <t xml:space="preserve">Ans </t>
  </si>
  <si>
    <t>Q.6</t>
  </si>
  <si>
    <t>Calculate the total sales of Notebooks in the North region only.</t>
  </si>
  <si>
    <t>Q.7</t>
  </si>
  <si>
    <t>Create a column chart showing total sales by product.</t>
  </si>
  <si>
    <t>Q.8</t>
  </si>
  <si>
    <t>Insert a line chart showing daily sales trend.</t>
  </si>
  <si>
    <t>Sum of Total Sales</t>
  </si>
  <si>
    <t>Q.5</t>
  </si>
  <si>
    <t>Calculate the Total Sales for each row using a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</si>
</sst>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Sheet2!$G$2:$G$51</c:f>
              <c:strCache>
                <c:ptCount val="50"/>
                <c:pt idx="0">
                  <c:v>5/1/2024</c:v>
                </c:pt>
                <c:pt idx="1">
                  <c:v>6/1/2024</c:v>
                </c:pt>
                <c:pt idx="2">
                  <c:v>7/1/2024</c:v>
                </c:pt>
                <c:pt idx="3">
                  <c:v>8/1/2024</c:v>
                </c:pt>
                <c:pt idx="4">
                  <c:v>10/1/2024</c:v>
                </c:pt>
                <c:pt idx="5">
                  <c:v>11/1/2024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1/2/2024</c:v>
                </c:pt>
                <c:pt idx="20">
                  <c:v>2/2/2024</c:v>
                </c:pt>
                <c:pt idx="21">
                  <c:v>3/2/2024</c:v>
                </c:pt>
                <c:pt idx="22">
                  <c:v>4/2/2024</c:v>
                </c:pt>
                <c:pt idx="23">
                  <c:v>6/2/2024</c:v>
                </c:pt>
                <c:pt idx="24">
                  <c:v>7/2/2024</c:v>
                </c:pt>
                <c:pt idx="25">
                  <c:v>8/2/2024</c:v>
                </c:pt>
                <c:pt idx="26">
                  <c:v>9/2/2024</c:v>
                </c:pt>
                <c:pt idx="27">
                  <c:v>10/2/2024</c:v>
                </c:pt>
                <c:pt idx="28">
                  <c:v>12/2/2024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1/3/2024</c:v>
                </c:pt>
                <c:pt idx="43">
                  <c:v>2/3/2024</c:v>
                </c:pt>
                <c:pt idx="44">
                  <c:v>3/3/2024</c:v>
                </c:pt>
                <c:pt idx="45">
                  <c:v>4/3/2024</c:v>
                </c:pt>
                <c:pt idx="46">
                  <c:v>5/3/2024</c:v>
                </c:pt>
                <c:pt idx="47">
                  <c:v>6/3/2024</c:v>
                </c:pt>
                <c:pt idx="48">
                  <c:v>7/3/2024</c:v>
                </c:pt>
                <c:pt idx="49">
                  <c:v>8/3/2024</c:v>
                </c:pt>
              </c:strCache>
            </c:strRef>
          </c:cat>
          <c:val>
            <c:numRef>
              <c:f>Sheet2!$H$2:$H$51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0-462C-B161-0901A96565E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4011295"/>
        <c:axId val="744012127"/>
      </c:lineChart>
      <c:catAx>
        <c:axId val="74401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12127"/>
        <c:crosses val="autoZero"/>
        <c:auto val="1"/>
        <c:lblAlgn val="ctr"/>
        <c:lblOffset val="100"/>
        <c:noMultiLvlLbl val="0"/>
      </c:catAx>
      <c:valAx>
        <c:axId val="7440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01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[Assianment 1.xlsx]Sheet3!PivotTable6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Sheet3!$E$5:$E$9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Sheet3!$F$5:$F$9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3-45F1-B1FC-59BC33EE2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15384271"/>
        <c:axId val="2115398831"/>
      </c:barChart>
      <c:catAx>
        <c:axId val="21153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98831"/>
        <c:crosses val="autoZero"/>
        <c:auto val="1"/>
        <c:lblAlgn val="ctr"/>
        <c:lblOffset val="100"/>
        <c:noMultiLvlLbl val="0"/>
      </c:catAx>
      <c:valAx>
        <c:axId val="211539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3842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23462</xdr:colOff>
      <xdr:row>7</xdr:row>
      <xdr:rowOff>41394</xdr:rowOff>
    </xdr:from>
    <xdr:to>
      <xdr:col>11</xdr:col>
      <xdr:colOff>5482478</xdr:colOff>
      <xdr:row>13</xdr:row>
      <xdr:rowOff>1255060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A2E973-B80E-4798-BF6A-98A273F62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104776</xdr:rowOff>
    </xdr:from>
    <xdr:to>
      <xdr:col>3</xdr:col>
      <xdr:colOff>457200</xdr:colOff>
      <xdr:row>5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C77C5-4AF0-41F9-89C2-C00DEB32B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04.836549884261" createdVersion="7" refreshedVersion="7" minRefreshableVersion="3" recordCount="50" xr:uid="{73990DA4-3050-4056-8F16-037CCEB6FD71}">
  <cacheSource type="worksheet">
    <worksheetSource ref="A1:H51" sheet="Sheet2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Total 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5-01T00:00:00"/>
    <n v="500"/>
  </r>
  <r>
    <n v="1002"/>
    <s v="Neha Verma"/>
    <s v="South"/>
    <x v="1"/>
    <n v="20"/>
    <n v="10"/>
    <d v="2024-06-01T00:00:00"/>
    <n v="200"/>
  </r>
  <r>
    <n v="1003"/>
    <s v="Rahul Singh"/>
    <s v="East"/>
    <x v="2"/>
    <n v="15"/>
    <n v="25"/>
    <d v="2024-07-01T00:00:00"/>
    <n v="375"/>
  </r>
  <r>
    <n v="1004"/>
    <s v="Pooja Mehta"/>
    <s v="West"/>
    <x v="0"/>
    <n v="5"/>
    <n v="50"/>
    <d v="2024-08-01T00:00:00"/>
    <n v="250"/>
  </r>
  <r>
    <n v="1005"/>
    <s v="Ankit Jain"/>
    <s v="North"/>
    <x v="3"/>
    <n v="30"/>
    <n v="5"/>
    <d v="2024-10-01T00:00:00"/>
    <n v="150"/>
  </r>
  <r>
    <n v="1006"/>
    <s v="Sneha Patel"/>
    <s v="South"/>
    <x v="0"/>
    <n v="12"/>
    <n v="50"/>
    <d v="2024-11-01T00:00:00"/>
    <n v="600"/>
  </r>
  <r>
    <n v="1007"/>
    <s v="Vikas Gupta"/>
    <s v="East"/>
    <x v="4"/>
    <n v="25"/>
    <n v="8"/>
    <s v="13-01-2024"/>
    <n v="200"/>
  </r>
  <r>
    <n v="1008"/>
    <s v="Meera Nair"/>
    <s v="West"/>
    <x v="1"/>
    <n v="18"/>
    <n v="10"/>
    <s v="15-01-2024"/>
    <n v="180"/>
  </r>
  <r>
    <n v="1009"/>
    <s v="Anjali Rao"/>
    <s v="North"/>
    <x v="2"/>
    <n v="22"/>
    <n v="25"/>
    <s v="17-01-2024"/>
    <n v="550"/>
  </r>
  <r>
    <n v="1010"/>
    <s v="Manoj Das"/>
    <s v="South"/>
    <x v="0"/>
    <n v="8"/>
    <n v="50"/>
    <s v="18-01-2024"/>
    <n v="400"/>
  </r>
  <r>
    <n v="1011"/>
    <s v="Ritika Sen"/>
    <s v="East"/>
    <x v="3"/>
    <n v="40"/>
    <n v="5"/>
    <s v="19-01-2024"/>
    <n v="200"/>
  </r>
  <r>
    <n v="1012"/>
    <s v="Karan Malhotra"/>
    <s v="West"/>
    <x v="4"/>
    <n v="35"/>
    <n v="8"/>
    <s v="20-01-2024"/>
    <n v="280"/>
  </r>
  <r>
    <n v="1013"/>
    <s v="Aryan Joshi"/>
    <s v="North"/>
    <x v="0"/>
    <n v="14"/>
    <n v="50"/>
    <s v="22-01-2024"/>
    <n v="700"/>
  </r>
  <r>
    <n v="1014"/>
    <s v="Divya Kapoor"/>
    <s v="South"/>
    <x v="1"/>
    <n v="28"/>
    <n v="10"/>
    <s v="23-01-2024"/>
    <n v="280"/>
  </r>
  <r>
    <n v="1015"/>
    <s v="Sahil Arora"/>
    <s v="East"/>
    <x v="2"/>
    <n v="12"/>
    <n v="25"/>
    <s v="24-01-2024"/>
    <n v="300"/>
  </r>
  <r>
    <n v="1016"/>
    <s v="Muskan Jain"/>
    <s v="West"/>
    <x v="3"/>
    <n v="25"/>
    <n v="5"/>
    <s v="26-01-2024"/>
    <n v="125"/>
  </r>
  <r>
    <n v="1017"/>
    <s v="Rohan Gupta"/>
    <s v="North"/>
    <x v="4"/>
    <n v="20"/>
    <n v="8"/>
    <s v="28-01-2024"/>
    <n v="160"/>
  </r>
  <r>
    <n v="1018"/>
    <s v="Nidhi Sharma"/>
    <s v="South"/>
    <x v="0"/>
    <n v="10"/>
    <n v="50"/>
    <s v="29-01-2024"/>
    <n v="500"/>
  </r>
  <r>
    <n v="1019"/>
    <s v="Tarun Verma"/>
    <s v="East"/>
    <x v="1"/>
    <n v="15"/>
    <n v="10"/>
    <s v="30-01-2024"/>
    <n v="150"/>
  </r>
  <r>
    <n v="1020"/>
    <s v="Simran Kaur"/>
    <s v="West"/>
    <x v="2"/>
    <n v="18"/>
    <n v="25"/>
    <d v="2024-01-02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3-02T00:00:00"/>
    <n v="175"/>
  </r>
  <r>
    <n v="1023"/>
    <s v="Aditya Singh"/>
    <s v="East"/>
    <x v="4"/>
    <n v="30"/>
    <n v="8"/>
    <d v="2024-04-02T00:00:00"/>
    <n v="240"/>
  </r>
  <r>
    <n v="1024"/>
    <s v="Shreya Nair"/>
    <s v="West"/>
    <x v="0"/>
    <n v="11"/>
    <n v="50"/>
    <d v="2024-06-02T00:00:00"/>
    <n v="550"/>
  </r>
  <r>
    <n v="1025"/>
    <s v="Sanjay Kumar"/>
    <s v="North"/>
    <x v="1"/>
    <n v="14"/>
    <n v="10"/>
    <d v="2024-07-02T00:00:00"/>
    <n v="140"/>
  </r>
  <r>
    <n v="1026"/>
    <s v="Aarti Sharma"/>
    <s v="South"/>
    <x v="2"/>
    <n v="16"/>
    <n v="25"/>
    <d v="2024-08-02T00:00:00"/>
    <n v="400"/>
  </r>
  <r>
    <n v="1027"/>
    <s v="Rajesh Patel"/>
    <s v="East"/>
    <x v="3"/>
    <n v="22"/>
    <n v="5"/>
    <d v="2024-09-02T00:00:00"/>
    <n v="110"/>
  </r>
  <r>
    <n v="1028"/>
    <s v="Preeti Joshi"/>
    <s v="West"/>
    <x v="4"/>
    <n v="27"/>
    <n v="8"/>
    <d v="2024-10-02T00:00:00"/>
    <n v="216"/>
  </r>
  <r>
    <n v="1029"/>
    <s v="Anurag Mishra"/>
    <s v="North"/>
    <x v="0"/>
    <n v="13"/>
    <n v="50"/>
    <d v="2024-12-02T00:00:00"/>
    <n v="650"/>
  </r>
  <r>
    <n v="1030"/>
    <s v="Sanya Kapoor"/>
    <s v="South"/>
    <x v="1"/>
    <n v="32"/>
    <n v="10"/>
    <s v="13-02-2024"/>
    <n v="320"/>
  </r>
  <r>
    <n v="1031"/>
    <s v="Harsh Yadav"/>
    <s v="East"/>
    <x v="2"/>
    <n v="10"/>
    <n v="25"/>
    <s v="14-02-2024"/>
    <n v="250"/>
  </r>
  <r>
    <n v="1032"/>
    <s v="Kajal Rani"/>
    <s v="West"/>
    <x v="3"/>
    <n v="18"/>
    <n v="5"/>
    <s v="16-02-2024"/>
    <n v="90"/>
  </r>
  <r>
    <n v="1033"/>
    <s v="Varun Sharma"/>
    <s v="North"/>
    <x v="4"/>
    <n v="22"/>
    <n v="8"/>
    <s v="17-02-2024"/>
    <n v="176"/>
  </r>
  <r>
    <n v="1034"/>
    <s v="Swati Arora"/>
    <s v="South"/>
    <x v="0"/>
    <n v="17"/>
    <n v="50"/>
    <s v="18-02-2024"/>
    <n v="850"/>
  </r>
  <r>
    <n v="1035"/>
    <s v="Akhil Jain"/>
    <s v="East"/>
    <x v="1"/>
    <n v="19"/>
    <n v="10"/>
    <s v="19-02-2024"/>
    <n v="190"/>
  </r>
  <r>
    <n v="1036"/>
    <s v="Priyanka Das"/>
    <s v="West"/>
    <x v="2"/>
    <n v="15"/>
    <n v="25"/>
    <s v="21-02-2024"/>
    <n v="375"/>
  </r>
  <r>
    <n v="1037"/>
    <s v="Ravi Nair"/>
    <s v="North"/>
    <x v="3"/>
    <n v="28"/>
    <n v="5"/>
    <s v="22-02-2024"/>
    <n v="140"/>
  </r>
  <r>
    <n v="1038"/>
    <s v="Komal Singh"/>
    <s v="South"/>
    <x v="4"/>
    <n v="24"/>
    <n v="8"/>
    <s v="23-02-2024"/>
    <n v="192"/>
  </r>
  <r>
    <n v="1039"/>
    <s v="Ayesha Khan"/>
    <s v="East"/>
    <x v="0"/>
    <n v="16"/>
    <n v="50"/>
    <s v="25-02-2024"/>
    <n v="800"/>
  </r>
  <r>
    <n v="1040"/>
    <s v="Arjun Mehta"/>
    <s v="West"/>
    <x v="1"/>
    <n v="27"/>
    <n v="10"/>
    <s v="26-02-2024"/>
    <n v="270"/>
  </r>
  <r>
    <n v="1041"/>
    <s v="Sonali Gupta"/>
    <s v="North"/>
    <x v="2"/>
    <n v="21"/>
    <n v="25"/>
    <s v="27-02-2024"/>
    <n v="525"/>
  </r>
  <r>
    <n v="1042"/>
    <s v="Neeraj Kapoor"/>
    <s v="South"/>
    <x v="3"/>
    <n v="30"/>
    <n v="5"/>
    <s v="28-02-2024"/>
    <n v="150"/>
  </r>
  <r>
    <n v="1043"/>
    <s v="Shruti Sharma"/>
    <s v="East"/>
    <x v="4"/>
    <n v="26"/>
    <n v="8"/>
    <d v="2024-01-03T00:00:00"/>
    <n v="208"/>
  </r>
  <r>
    <n v="1044"/>
    <s v="Yash Arora"/>
    <s v="West"/>
    <x v="0"/>
    <n v="14"/>
    <n v="50"/>
    <d v="2024-02-03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4-03T00:00:00"/>
    <n v="425"/>
  </r>
  <r>
    <n v="1047"/>
    <s v="Sonia Verma"/>
    <s v="East"/>
    <x v="3"/>
    <n v="19"/>
    <n v="5"/>
    <d v="2024-05-03T00:00:00"/>
    <n v="95"/>
  </r>
  <r>
    <n v="1048"/>
    <s v="Kunal Singh"/>
    <s v="West"/>
    <x v="4"/>
    <n v="32"/>
    <n v="8"/>
    <d v="2024-06-03T00:00:00"/>
    <n v="256"/>
  </r>
  <r>
    <n v="1049"/>
    <s v="Ritika Jain"/>
    <s v="North"/>
    <x v="0"/>
    <n v="12"/>
    <n v="50"/>
    <d v="2024-07-03T00:00:00"/>
    <n v="600"/>
  </r>
  <r>
    <n v="1050"/>
    <s v="Vivek Malhotra"/>
    <s v="South"/>
    <x v="1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B7F8D-0595-4B97-9B37-DE68F631BC4A}" name="PivotTable6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3">
  <location ref="E4:F9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B18" sqref="B18"/>
    </sheetView>
  </sheetViews>
  <sheetFormatPr defaultRowHeight="15" x14ac:dyDescent="0.25"/>
  <cols>
    <col min="2" max="2" width="95.28515625" customWidth="1"/>
    <col min="3" max="3" width="14" customWidth="1"/>
  </cols>
  <sheetData>
    <row r="1" spans="1:5" x14ac:dyDescent="0.25">
      <c r="A1" t="s">
        <v>92</v>
      </c>
      <c r="B1" t="s">
        <v>93</v>
      </c>
    </row>
    <row r="2" spans="1:5" x14ac:dyDescent="0.25">
      <c r="B2" t="s">
        <v>94</v>
      </c>
    </row>
    <row r="4" spans="1:5" x14ac:dyDescent="0.25">
      <c r="A4" t="s">
        <v>95</v>
      </c>
      <c r="B4" t="s">
        <v>98</v>
      </c>
    </row>
    <row r="5" spans="1:5" x14ac:dyDescent="0.25">
      <c r="B5" t="s">
        <v>96</v>
      </c>
    </row>
    <row r="6" spans="1:5" x14ac:dyDescent="0.25">
      <c r="B6" t="s">
        <v>97</v>
      </c>
    </row>
    <row r="7" spans="1:5" x14ac:dyDescent="0.25">
      <c r="B7" t="s">
        <v>99</v>
      </c>
    </row>
    <row r="8" spans="1:5" x14ac:dyDescent="0.25">
      <c r="B8" t="s">
        <v>100</v>
      </c>
    </row>
    <row r="10" spans="1:5" x14ac:dyDescent="0.25">
      <c r="A10" t="s">
        <v>101</v>
      </c>
      <c r="B10" t="s">
        <v>102</v>
      </c>
      <c r="C10" t="s">
        <v>103</v>
      </c>
      <c r="D10" t="s">
        <v>104</v>
      </c>
    </row>
    <row r="11" spans="1:5" x14ac:dyDescent="0.25">
      <c r="C11" t="s">
        <v>105</v>
      </c>
      <c r="D11">
        <v>500000</v>
      </c>
    </row>
    <row r="12" spans="1:5" x14ac:dyDescent="0.25">
      <c r="A12" t="s">
        <v>108</v>
      </c>
      <c r="B12" cm="1">
        <f t="array" ref="B12">SUMPRODUCT((C11:C13={"Car","Bicycle"})*D11:D13)</f>
        <v>510500</v>
      </c>
      <c r="C12" t="s">
        <v>106</v>
      </c>
      <c r="D12">
        <v>10500</v>
      </c>
    </row>
    <row r="13" spans="1:5" x14ac:dyDescent="0.25">
      <c r="C13" t="s">
        <v>107</v>
      </c>
      <c r="D13">
        <v>25000</v>
      </c>
    </row>
    <row r="15" spans="1:5" x14ac:dyDescent="0.25">
      <c r="A15" t="s">
        <v>109</v>
      </c>
      <c r="B15" t="s">
        <v>110</v>
      </c>
      <c r="C15" t="s">
        <v>111</v>
      </c>
      <c r="D15" t="s">
        <v>104</v>
      </c>
      <c r="E15" t="s">
        <v>115</v>
      </c>
    </row>
    <row r="16" spans="1:5" x14ac:dyDescent="0.25">
      <c r="B16">
        <v>300</v>
      </c>
      <c r="C16" t="s">
        <v>112</v>
      </c>
      <c r="D16">
        <v>90</v>
      </c>
      <c r="E16">
        <v>1000</v>
      </c>
    </row>
    <row r="17" spans="1:5" x14ac:dyDescent="0.25">
      <c r="C17" t="s">
        <v>113</v>
      </c>
      <c r="D17">
        <v>150</v>
      </c>
      <c r="E17">
        <v>1200</v>
      </c>
    </row>
    <row r="18" spans="1:5" x14ac:dyDescent="0.25">
      <c r="A18" t="s">
        <v>95</v>
      </c>
      <c r="B18">
        <f>AVERAGEIFS(E16:E18,D16:D18,"&gt;100",D16:D18,"&lt;300")</f>
        <v>1350</v>
      </c>
      <c r="C18" t="s">
        <v>114</v>
      </c>
      <c r="D18">
        <v>250</v>
      </c>
      <c r="E18"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EF0C-1057-4B1C-8215-66B45BDFE559}">
  <dimension ref="A1:L51"/>
  <sheetViews>
    <sheetView topLeftCell="A34" zoomScale="85" zoomScaleNormal="85" workbookViewId="0">
      <selection sqref="A1:H51"/>
    </sheetView>
  </sheetViews>
  <sheetFormatPr defaultRowHeight="15" x14ac:dyDescent="0.25"/>
  <cols>
    <col min="1" max="1" width="12.85546875" customWidth="1"/>
    <col min="2" max="2" width="12.7109375" customWidth="1"/>
    <col min="3" max="3" width="10.140625" customWidth="1"/>
    <col min="4" max="4" width="11.7109375" customWidth="1"/>
    <col min="5" max="5" width="11.140625" customWidth="1"/>
    <col min="6" max="6" width="12.140625" customWidth="1"/>
    <col min="7" max="7" width="14" customWidth="1"/>
    <col min="8" max="8" width="15.7109375" customWidth="1"/>
    <col min="10" max="10" width="9.5703125" customWidth="1"/>
    <col min="12" max="12" width="86.7109375" customWidth="1"/>
    <col min="13" max="13" width="16.85546875" customWidth="1"/>
  </cols>
  <sheetData>
    <row r="1" spans="1:12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116</v>
      </c>
      <c r="K1" s="9" t="s">
        <v>117</v>
      </c>
      <c r="L1" t="s">
        <v>118</v>
      </c>
    </row>
    <row r="2" spans="1:12" ht="15.75" thickBot="1" x14ac:dyDescent="0.3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10">
        <f>$E2*$F2</f>
        <v>500</v>
      </c>
      <c r="K2" t="s">
        <v>119</v>
      </c>
      <c r="L2">
        <f>COUNTA(B2:B51)</f>
        <v>50</v>
      </c>
    </row>
    <row r="3" spans="1:12" ht="15.75" thickBot="1" x14ac:dyDescent="0.3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H3" s="10">
        <f t="shared" ref="H3:H51" si="0">$E3*$F3</f>
        <v>200</v>
      </c>
    </row>
    <row r="4" spans="1:12" ht="15.75" thickBot="1" x14ac:dyDescent="0.3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10">
        <f t="shared" si="0"/>
        <v>375</v>
      </c>
      <c r="K4" t="s">
        <v>120</v>
      </c>
      <c r="L4" t="s">
        <v>121</v>
      </c>
    </row>
    <row r="5" spans="1:12" ht="15.75" thickBot="1" x14ac:dyDescent="0.3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H5" s="10">
        <f t="shared" si="0"/>
        <v>250</v>
      </c>
      <c r="K5" t="s">
        <v>95</v>
      </c>
      <c r="L5">
        <f>SUMIFS(H2:H51,D2:D51,"Notebook",C2:C51,"North")</f>
        <v>2900</v>
      </c>
    </row>
    <row r="6" spans="1:12" ht="15.75" thickBot="1" x14ac:dyDescent="0.3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H6" s="10">
        <f t="shared" si="0"/>
        <v>150</v>
      </c>
    </row>
    <row r="7" spans="1:12" ht="15.75" thickBot="1" x14ac:dyDescent="0.3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H7" s="10">
        <f t="shared" si="0"/>
        <v>600</v>
      </c>
      <c r="K7" t="s">
        <v>124</v>
      </c>
      <c r="L7" t="s">
        <v>125</v>
      </c>
    </row>
    <row r="8" spans="1:12" ht="12.75" customHeight="1" thickBot="1" x14ac:dyDescent="0.3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H8" s="10">
        <f t="shared" si="0"/>
        <v>200</v>
      </c>
      <c r="K8" t="s">
        <v>108</v>
      </c>
    </row>
    <row r="9" spans="1:12" ht="13.5" customHeight="1" thickBot="1" x14ac:dyDescent="0.3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H9" s="10">
        <f t="shared" si="0"/>
        <v>180</v>
      </c>
    </row>
    <row r="10" spans="1:12" ht="30" customHeight="1" thickBot="1" x14ac:dyDescent="0.3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  <c r="H10" s="10">
        <f t="shared" si="0"/>
        <v>550</v>
      </c>
    </row>
    <row r="11" spans="1:12" ht="21.75" customHeight="1" thickBot="1" x14ac:dyDescent="0.3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H11" s="10">
        <f t="shared" si="0"/>
        <v>400</v>
      </c>
    </row>
    <row r="12" spans="1:12" ht="15" customHeight="1" thickBot="1" x14ac:dyDescent="0.3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H12" s="10">
        <f t="shared" si="0"/>
        <v>200</v>
      </c>
    </row>
    <row r="13" spans="1:12" ht="30.75" thickBot="1" x14ac:dyDescent="0.3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H13" s="10">
        <f t="shared" si="0"/>
        <v>280</v>
      </c>
    </row>
    <row r="14" spans="1:12" ht="99.75" customHeight="1" thickBot="1" x14ac:dyDescent="0.3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H14" s="10">
        <f t="shared" si="0"/>
        <v>700</v>
      </c>
    </row>
    <row r="15" spans="1:12" ht="15.75" thickBot="1" x14ac:dyDescent="0.3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  <c r="H15" s="10">
        <f t="shared" si="0"/>
        <v>280</v>
      </c>
    </row>
    <row r="16" spans="1:12" ht="15.75" thickBot="1" x14ac:dyDescent="0.3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H16" s="10">
        <f t="shared" si="0"/>
        <v>300</v>
      </c>
    </row>
    <row r="17" spans="1:8" ht="15.75" thickBot="1" x14ac:dyDescent="0.3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  <c r="H17" s="10">
        <f t="shared" si="0"/>
        <v>125</v>
      </c>
    </row>
    <row r="18" spans="1:8" ht="15.75" thickBot="1" x14ac:dyDescent="0.3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H18" s="10">
        <f t="shared" si="0"/>
        <v>160</v>
      </c>
    </row>
    <row r="19" spans="1:8" ht="30.75" thickBot="1" x14ac:dyDescent="0.3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H19" s="10">
        <f t="shared" si="0"/>
        <v>500</v>
      </c>
    </row>
    <row r="20" spans="1:8" ht="15.75" thickBot="1" x14ac:dyDescent="0.3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H20" s="10">
        <f t="shared" si="0"/>
        <v>150</v>
      </c>
    </row>
    <row r="21" spans="1:8" ht="15.75" thickBot="1" x14ac:dyDescent="0.3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H21" s="10">
        <f t="shared" si="0"/>
        <v>450</v>
      </c>
    </row>
    <row r="22" spans="1:8" ht="15.75" thickBot="1" x14ac:dyDescent="0.3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 s="10">
        <f t="shared" si="0"/>
        <v>450</v>
      </c>
    </row>
    <row r="23" spans="1:8" ht="15.75" thickBot="1" x14ac:dyDescent="0.3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H23" s="10">
        <f t="shared" si="0"/>
        <v>175</v>
      </c>
    </row>
    <row r="24" spans="1:8" ht="15.75" thickBot="1" x14ac:dyDescent="0.3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H24" s="10">
        <f t="shared" si="0"/>
        <v>240</v>
      </c>
    </row>
    <row r="25" spans="1:8" ht="15.75" thickBot="1" x14ac:dyDescent="0.3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H25" s="10">
        <f t="shared" si="0"/>
        <v>550</v>
      </c>
    </row>
    <row r="26" spans="1:8" ht="30.75" thickBot="1" x14ac:dyDescent="0.3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H26" s="10">
        <f t="shared" si="0"/>
        <v>140</v>
      </c>
    </row>
    <row r="27" spans="1:8" ht="15.75" thickBot="1" x14ac:dyDescent="0.3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H27" s="10">
        <f t="shared" si="0"/>
        <v>400</v>
      </c>
    </row>
    <row r="28" spans="1:8" ht="15.75" thickBot="1" x14ac:dyDescent="0.3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  <c r="H28" s="10">
        <f t="shared" si="0"/>
        <v>110</v>
      </c>
    </row>
    <row r="29" spans="1:8" ht="15.75" thickBot="1" x14ac:dyDescent="0.3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  <c r="H29" s="10">
        <f t="shared" si="0"/>
        <v>216</v>
      </c>
    </row>
    <row r="30" spans="1:8" ht="30.75" thickBot="1" x14ac:dyDescent="0.3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H30" s="10">
        <f t="shared" si="0"/>
        <v>650</v>
      </c>
    </row>
    <row r="31" spans="1:8" ht="30.75" thickBot="1" x14ac:dyDescent="0.3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H31" s="10">
        <f t="shared" si="0"/>
        <v>320</v>
      </c>
    </row>
    <row r="32" spans="1:8" ht="15.75" thickBot="1" x14ac:dyDescent="0.3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H32" s="10">
        <f t="shared" si="0"/>
        <v>250</v>
      </c>
    </row>
    <row r="33" spans="1:8" ht="15.75" thickBot="1" x14ac:dyDescent="0.3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H33" s="10">
        <f t="shared" si="0"/>
        <v>90</v>
      </c>
    </row>
    <row r="34" spans="1:8" ht="30.75" thickBot="1" x14ac:dyDescent="0.3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  <c r="H34" s="10">
        <f t="shared" si="0"/>
        <v>176</v>
      </c>
    </row>
    <row r="35" spans="1:8" ht="15.75" thickBot="1" x14ac:dyDescent="0.3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H35" s="10">
        <f t="shared" si="0"/>
        <v>850</v>
      </c>
    </row>
    <row r="36" spans="1:8" ht="15.75" thickBot="1" x14ac:dyDescent="0.3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H36" s="10">
        <f t="shared" si="0"/>
        <v>190</v>
      </c>
    </row>
    <row r="37" spans="1:8" ht="15.75" thickBot="1" x14ac:dyDescent="0.3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H37" s="10">
        <f t="shared" si="0"/>
        <v>375</v>
      </c>
    </row>
    <row r="38" spans="1:8" ht="15.75" thickBot="1" x14ac:dyDescent="0.3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  <c r="H38" s="10">
        <f t="shared" si="0"/>
        <v>140</v>
      </c>
    </row>
    <row r="39" spans="1:8" ht="15.75" thickBot="1" x14ac:dyDescent="0.3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H39" s="10">
        <f t="shared" si="0"/>
        <v>192</v>
      </c>
    </row>
    <row r="40" spans="1:8" ht="15.75" thickBot="1" x14ac:dyDescent="0.3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H40" s="10">
        <f t="shared" si="0"/>
        <v>800</v>
      </c>
    </row>
    <row r="41" spans="1:8" ht="15.75" thickBot="1" x14ac:dyDescent="0.3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  <c r="H41" s="10">
        <f t="shared" si="0"/>
        <v>270</v>
      </c>
    </row>
    <row r="42" spans="1:8" ht="15.75" thickBot="1" x14ac:dyDescent="0.3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  <c r="H42" s="10">
        <f t="shared" si="0"/>
        <v>525</v>
      </c>
    </row>
    <row r="43" spans="1:8" ht="30.75" thickBot="1" x14ac:dyDescent="0.3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H43" s="10">
        <f t="shared" si="0"/>
        <v>150</v>
      </c>
    </row>
    <row r="44" spans="1:8" ht="30.75" thickBot="1" x14ac:dyDescent="0.3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  <c r="H44" s="10">
        <f t="shared" si="0"/>
        <v>208</v>
      </c>
    </row>
    <row r="45" spans="1:8" ht="15.75" thickBot="1" x14ac:dyDescent="0.3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H45" s="10">
        <f t="shared" si="0"/>
        <v>700</v>
      </c>
    </row>
    <row r="46" spans="1:8" ht="15.75" thickBot="1" x14ac:dyDescent="0.3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 s="10">
        <f t="shared" si="0"/>
        <v>200</v>
      </c>
    </row>
    <row r="47" spans="1:8" ht="15.75" thickBot="1" x14ac:dyDescent="0.3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H47" s="10">
        <f t="shared" si="0"/>
        <v>425</v>
      </c>
    </row>
    <row r="48" spans="1:8" ht="15.75" thickBot="1" x14ac:dyDescent="0.3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H48" s="10">
        <f t="shared" si="0"/>
        <v>95</v>
      </c>
    </row>
    <row r="49" spans="1:8" ht="15.75" thickBot="1" x14ac:dyDescent="0.3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H49" s="10">
        <f t="shared" si="0"/>
        <v>256</v>
      </c>
    </row>
    <row r="50" spans="1:8" ht="15.75" thickBot="1" x14ac:dyDescent="0.3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H50" s="10">
        <f t="shared" si="0"/>
        <v>600</v>
      </c>
    </row>
    <row r="51" spans="1:8" ht="30" x14ac:dyDescent="0.25">
      <c r="A51" s="5">
        <v>1050</v>
      </c>
      <c r="B51" s="6" t="s">
        <v>91</v>
      </c>
      <c r="C51" s="6" t="s">
        <v>11</v>
      </c>
      <c r="D51" s="6" t="s">
        <v>12</v>
      </c>
      <c r="E51" s="5">
        <v>25</v>
      </c>
      <c r="F51" s="5">
        <v>10</v>
      </c>
      <c r="G51" s="7">
        <v>45507</v>
      </c>
      <c r="H51" s="10">
        <f t="shared" si="0"/>
        <v>250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15C7-41B9-413A-83B1-B2745006048E}">
  <dimension ref="A1:F9"/>
  <sheetViews>
    <sheetView workbookViewId="0">
      <selection activeCell="E4" sqref="E4"/>
    </sheetView>
  </sheetViews>
  <sheetFormatPr defaultRowHeight="15" x14ac:dyDescent="0.25"/>
  <cols>
    <col min="2" max="2" width="68.5703125" customWidth="1"/>
    <col min="5" max="5" width="13.28515625" customWidth="1"/>
  </cols>
  <sheetData>
    <row r="1" spans="1:6" x14ac:dyDescent="0.25">
      <c r="A1" t="s">
        <v>122</v>
      </c>
      <c r="B1" t="s">
        <v>123</v>
      </c>
    </row>
    <row r="3" spans="1:6" ht="168" customHeight="1" x14ac:dyDescent="0.25">
      <c r="A3" t="s">
        <v>95</v>
      </c>
    </row>
    <row r="4" spans="1:6" x14ac:dyDescent="0.25">
      <c r="E4" s="11" t="s">
        <v>3</v>
      </c>
      <c r="F4" t="s">
        <v>126</v>
      </c>
    </row>
    <row r="5" spans="1:6" x14ac:dyDescent="0.25">
      <c r="E5" t="s">
        <v>22</v>
      </c>
      <c r="F5">
        <v>1928</v>
      </c>
    </row>
    <row r="6" spans="1:6" x14ac:dyDescent="0.25">
      <c r="E6" t="s">
        <v>15</v>
      </c>
      <c r="F6">
        <v>3650</v>
      </c>
    </row>
    <row r="7" spans="1:6" x14ac:dyDescent="0.25">
      <c r="E7" t="s">
        <v>9</v>
      </c>
      <c r="F7">
        <v>7550</v>
      </c>
    </row>
    <row r="8" spans="1:6" x14ac:dyDescent="0.25">
      <c r="E8" t="s">
        <v>12</v>
      </c>
      <c r="F8">
        <v>2180</v>
      </c>
    </row>
    <row r="9" spans="1:6" x14ac:dyDescent="0.25">
      <c r="E9" t="s">
        <v>19</v>
      </c>
      <c r="F9">
        <v>1235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AC80-1F81-4BC5-8E8D-534C7B442A7A}">
  <dimension ref="A1:H54"/>
  <sheetViews>
    <sheetView tabSelected="1" topLeftCell="A34" workbookViewId="0">
      <selection activeCell="H2" sqref="H2"/>
    </sheetView>
  </sheetViews>
  <sheetFormatPr defaultRowHeight="15" x14ac:dyDescent="0.25"/>
  <cols>
    <col min="1" max="1" width="11.140625" customWidth="1"/>
    <col min="2" max="2" width="12.140625" customWidth="1"/>
    <col min="3" max="3" width="11.140625" customWidth="1"/>
    <col min="4" max="4" width="8.28515625" customWidth="1"/>
    <col min="6" max="6" width="65" customWidth="1"/>
    <col min="7" max="7" width="12.85546875" customWidth="1"/>
  </cols>
  <sheetData>
    <row r="1" spans="1:8" x14ac:dyDescent="0.25">
      <c r="E1" t="s">
        <v>127</v>
      </c>
      <c r="F1" t="s">
        <v>128</v>
      </c>
    </row>
    <row r="2" spans="1:8" x14ac:dyDescent="0.25">
      <c r="A2" t="s">
        <v>95</v>
      </c>
    </row>
    <row r="3" spans="1:8" ht="15.75" thickBot="1" x14ac:dyDescent="0.3"/>
    <row r="4" spans="1:8" ht="30.75" thickBo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8" t="s">
        <v>116</v>
      </c>
    </row>
    <row r="5" spans="1:8" ht="30.75" thickBot="1" x14ac:dyDescent="0.3">
      <c r="A5" s="2">
        <v>1001</v>
      </c>
      <c r="B5" s="3" t="s">
        <v>7</v>
      </c>
      <c r="C5" s="3" t="s">
        <v>8</v>
      </c>
      <c r="D5" s="3" t="s">
        <v>9</v>
      </c>
      <c r="E5" s="2">
        <v>10</v>
      </c>
      <c r="F5" s="2">
        <v>50</v>
      </c>
      <c r="G5" s="4">
        <v>45413</v>
      </c>
      <c r="H5" s="10">
        <f>$E5*$F5</f>
        <v>500</v>
      </c>
    </row>
    <row r="6" spans="1:8" ht="15.75" thickBot="1" x14ac:dyDescent="0.3">
      <c r="A6" s="2">
        <v>1002</v>
      </c>
      <c r="B6" s="3" t="s">
        <v>10</v>
      </c>
      <c r="C6" s="3" t="s">
        <v>11</v>
      </c>
      <c r="D6" s="3" t="s">
        <v>12</v>
      </c>
      <c r="E6" s="2">
        <v>20</v>
      </c>
      <c r="F6" s="2">
        <v>10</v>
      </c>
      <c r="G6" s="4">
        <v>45444</v>
      </c>
      <c r="H6" s="10">
        <f t="shared" ref="H6:H54" si="0">$E6*$F6</f>
        <v>200</v>
      </c>
    </row>
    <row r="7" spans="1:8" ht="15.75" thickBot="1" x14ac:dyDescent="0.3">
      <c r="A7" s="2">
        <v>1003</v>
      </c>
      <c r="B7" s="3" t="s">
        <v>13</v>
      </c>
      <c r="C7" s="3" t="s">
        <v>14</v>
      </c>
      <c r="D7" s="3" t="s">
        <v>15</v>
      </c>
      <c r="E7" s="2">
        <v>15</v>
      </c>
      <c r="F7" s="2">
        <v>25</v>
      </c>
      <c r="G7" s="4">
        <v>45474</v>
      </c>
      <c r="H7" s="10">
        <f t="shared" si="0"/>
        <v>375</v>
      </c>
    </row>
    <row r="8" spans="1:8" ht="30.75" thickBot="1" x14ac:dyDescent="0.3">
      <c r="A8" s="2">
        <v>1004</v>
      </c>
      <c r="B8" s="3" t="s">
        <v>16</v>
      </c>
      <c r="C8" s="3" t="s">
        <v>17</v>
      </c>
      <c r="D8" s="3" t="s">
        <v>9</v>
      </c>
      <c r="E8" s="2">
        <v>5</v>
      </c>
      <c r="F8" s="2">
        <v>50</v>
      </c>
      <c r="G8" s="4">
        <v>45505</v>
      </c>
      <c r="H8" s="10">
        <f t="shared" si="0"/>
        <v>250</v>
      </c>
    </row>
    <row r="9" spans="1:8" ht="15.75" thickBot="1" x14ac:dyDescent="0.3">
      <c r="A9" s="2">
        <v>1005</v>
      </c>
      <c r="B9" s="3" t="s">
        <v>18</v>
      </c>
      <c r="C9" s="3" t="s">
        <v>8</v>
      </c>
      <c r="D9" s="3" t="s">
        <v>19</v>
      </c>
      <c r="E9" s="2">
        <v>30</v>
      </c>
      <c r="F9" s="2">
        <v>5</v>
      </c>
      <c r="G9" s="4">
        <v>45566</v>
      </c>
      <c r="H9" s="10">
        <f t="shared" si="0"/>
        <v>150</v>
      </c>
    </row>
    <row r="10" spans="1:8" ht="30.75" thickBot="1" x14ac:dyDescent="0.3">
      <c r="A10" s="2">
        <v>1006</v>
      </c>
      <c r="B10" s="3" t="s">
        <v>20</v>
      </c>
      <c r="C10" s="3" t="s">
        <v>11</v>
      </c>
      <c r="D10" s="3" t="s">
        <v>9</v>
      </c>
      <c r="E10" s="2">
        <v>12</v>
      </c>
      <c r="F10" s="2">
        <v>50</v>
      </c>
      <c r="G10" s="4">
        <v>45597</v>
      </c>
      <c r="H10" s="10">
        <f t="shared" si="0"/>
        <v>600</v>
      </c>
    </row>
    <row r="11" spans="1:8" ht="30.75" thickBot="1" x14ac:dyDescent="0.3">
      <c r="A11" s="2">
        <v>1007</v>
      </c>
      <c r="B11" s="3" t="s">
        <v>21</v>
      </c>
      <c r="C11" s="3" t="s">
        <v>14</v>
      </c>
      <c r="D11" s="3" t="s">
        <v>22</v>
      </c>
      <c r="E11" s="2">
        <v>25</v>
      </c>
      <c r="F11" s="2">
        <v>8</v>
      </c>
      <c r="G11" s="2" t="s">
        <v>23</v>
      </c>
      <c r="H11" s="10">
        <f t="shared" si="0"/>
        <v>200</v>
      </c>
    </row>
    <row r="12" spans="1:8" ht="30.75" thickBot="1" x14ac:dyDescent="0.3">
      <c r="A12" s="2">
        <v>1008</v>
      </c>
      <c r="B12" s="3" t="s">
        <v>24</v>
      </c>
      <c r="C12" s="3" t="s">
        <v>17</v>
      </c>
      <c r="D12" s="3" t="s">
        <v>12</v>
      </c>
      <c r="E12" s="2">
        <v>18</v>
      </c>
      <c r="F12" s="2">
        <v>10</v>
      </c>
      <c r="G12" s="2" t="s">
        <v>25</v>
      </c>
      <c r="H12" s="10">
        <f t="shared" si="0"/>
        <v>180</v>
      </c>
    </row>
    <row r="13" spans="1:8" ht="30.75" thickBot="1" x14ac:dyDescent="0.3">
      <c r="A13" s="2">
        <v>1009</v>
      </c>
      <c r="B13" s="3" t="s">
        <v>26</v>
      </c>
      <c r="C13" s="3" t="s">
        <v>8</v>
      </c>
      <c r="D13" s="3" t="s">
        <v>15</v>
      </c>
      <c r="E13" s="2">
        <v>22</v>
      </c>
      <c r="F13" s="2">
        <v>25</v>
      </c>
      <c r="G13" s="2" t="s">
        <v>27</v>
      </c>
      <c r="H13" s="10">
        <f t="shared" si="0"/>
        <v>550</v>
      </c>
    </row>
    <row r="14" spans="1:8" ht="30.75" thickBot="1" x14ac:dyDescent="0.3">
      <c r="A14" s="2">
        <v>1010</v>
      </c>
      <c r="B14" s="3" t="s">
        <v>28</v>
      </c>
      <c r="C14" s="3" t="s">
        <v>11</v>
      </c>
      <c r="D14" s="3" t="s">
        <v>9</v>
      </c>
      <c r="E14" s="2">
        <v>8</v>
      </c>
      <c r="F14" s="2">
        <v>50</v>
      </c>
      <c r="G14" s="2" t="s">
        <v>29</v>
      </c>
      <c r="H14" s="10">
        <f t="shared" si="0"/>
        <v>400</v>
      </c>
    </row>
    <row r="15" spans="1:8" ht="30.75" thickBot="1" x14ac:dyDescent="0.3">
      <c r="A15" s="2">
        <v>1011</v>
      </c>
      <c r="B15" s="3" t="s">
        <v>30</v>
      </c>
      <c r="C15" s="3" t="s">
        <v>14</v>
      </c>
      <c r="D15" s="3" t="s">
        <v>19</v>
      </c>
      <c r="E15" s="2">
        <v>40</v>
      </c>
      <c r="F15" s="2">
        <v>5</v>
      </c>
      <c r="G15" s="2" t="s">
        <v>31</v>
      </c>
      <c r="H15" s="10">
        <f t="shared" si="0"/>
        <v>200</v>
      </c>
    </row>
    <row r="16" spans="1:8" ht="30.75" thickBot="1" x14ac:dyDescent="0.3">
      <c r="A16" s="2">
        <v>1012</v>
      </c>
      <c r="B16" s="3" t="s">
        <v>32</v>
      </c>
      <c r="C16" s="3" t="s">
        <v>17</v>
      </c>
      <c r="D16" s="3" t="s">
        <v>22</v>
      </c>
      <c r="E16" s="2">
        <v>35</v>
      </c>
      <c r="F16" s="2">
        <v>8</v>
      </c>
      <c r="G16" s="2" t="s">
        <v>33</v>
      </c>
      <c r="H16" s="10">
        <f t="shared" si="0"/>
        <v>280</v>
      </c>
    </row>
    <row r="17" spans="1:8" ht="30.75" thickBot="1" x14ac:dyDescent="0.3">
      <c r="A17" s="2">
        <v>1013</v>
      </c>
      <c r="B17" s="3" t="s">
        <v>34</v>
      </c>
      <c r="C17" s="3" t="s">
        <v>8</v>
      </c>
      <c r="D17" s="3" t="s">
        <v>9</v>
      </c>
      <c r="E17" s="2">
        <v>14</v>
      </c>
      <c r="F17" s="2">
        <v>50</v>
      </c>
      <c r="G17" s="2" t="s">
        <v>35</v>
      </c>
      <c r="H17" s="10">
        <f t="shared" si="0"/>
        <v>700</v>
      </c>
    </row>
    <row r="18" spans="1:8" ht="30.75" thickBot="1" x14ac:dyDescent="0.3">
      <c r="A18" s="2">
        <v>1014</v>
      </c>
      <c r="B18" s="3" t="s">
        <v>36</v>
      </c>
      <c r="C18" s="3" t="s">
        <v>11</v>
      </c>
      <c r="D18" s="3" t="s">
        <v>12</v>
      </c>
      <c r="E18" s="2">
        <v>28</v>
      </c>
      <c r="F18" s="2">
        <v>10</v>
      </c>
      <c r="G18" s="2" t="s">
        <v>37</v>
      </c>
      <c r="H18" s="10">
        <f t="shared" si="0"/>
        <v>280</v>
      </c>
    </row>
    <row r="19" spans="1:8" ht="30.75" thickBot="1" x14ac:dyDescent="0.3">
      <c r="A19" s="2">
        <v>1015</v>
      </c>
      <c r="B19" s="3" t="s">
        <v>38</v>
      </c>
      <c r="C19" s="3" t="s">
        <v>14</v>
      </c>
      <c r="D19" s="3" t="s">
        <v>15</v>
      </c>
      <c r="E19" s="2">
        <v>12</v>
      </c>
      <c r="F19" s="2">
        <v>25</v>
      </c>
      <c r="G19" s="2" t="s">
        <v>39</v>
      </c>
      <c r="H19" s="10">
        <f t="shared" si="0"/>
        <v>300</v>
      </c>
    </row>
    <row r="20" spans="1:8" ht="30.75" thickBot="1" x14ac:dyDescent="0.3">
      <c r="A20" s="2">
        <v>1016</v>
      </c>
      <c r="B20" s="3" t="s">
        <v>40</v>
      </c>
      <c r="C20" s="3" t="s">
        <v>17</v>
      </c>
      <c r="D20" s="3" t="s">
        <v>19</v>
      </c>
      <c r="E20" s="2">
        <v>25</v>
      </c>
      <c r="F20" s="2">
        <v>5</v>
      </c>
      <c r="G20" s="2" t="s">
        <v>41</v>
      </c>
      <c r="H20" s="10">
        <f t="shared" si="0"/>
        <v>125</v>
      </c>
    </row>
    <row r="21" spans="1:8" ht="30.75" thickBot="1" x14ac:dyDescent="0.3">
      <c r="A21" s="2">
        <v>1017</v>
      </c>
      <c r="B21" s="3" t="s">
        <v>42</v>
      </c>
      <c r="C21" s="3" t="s">
        <v>8</v>
      </c>
      <c r="D21" s="3" t="s">
        <v>22</v>
      </c>
      <c r="E21" s="2">
        <v>20</v>
      </c>
      <c r="F21" s="2">
        <v>8</v>
      </c>
      <c r="G21" s="2" t="s">
        <v>43</v>
      </c>
      <c r="H21" s="10">
        <f t="shared" si="0"/>
        <v>160</v>
      </c>
    </row>
    <row r="22" spans="1:8" ht="30.75" thickBot="1" x14ac:dyDescent="0.3">
      <c r="A22" s="2">
        <v>1018</v>
      </c>
      <c r="B22" s="3" t="s">
        <v>44</v>
      </c>
      <c r="C22" s="3" t="s">
        <v>11</v>
      </c>
      <c r="D22" s="3" t="s">
        <v>9</v>
      </c>
      <c r="E22" s="2">
        <v>10</v>
      </c>
      <c r="F22" s="2">
        <v>50</v>
      </c>
      <c r="G22" s="2" t="s">
        <v>45</v>
      </c>
      <c r="H22" s="10">
        <f t="shared" si="0"/>
        <v>500</v>
      </c>
    </row>
    <row r="23" spans="1:8" ht="30.75" thickBot="1" x14ac:dyDescent="0.3">
      <c r="A23" s="2">
        <v>1019</v>
      </c>
      <c r="B23" s="3" t="s">
        <v>46</v>
      </c>
      <c r="C23" s="3" t="s">
        <v>14</v>
      </c>
      <c r="D23" s="3" t="s">
        <v>12</v>
      </c>
      <c r="E23" s="2">
        <v>15</v>
      </c>
      <c r="F23" s="2">
        <v>10</v>
      </c>
      <c r="G23" s="2" t="s">
        <v>47</v>
      </c>
      <c r="H23" s="10">
        <f t="shared" si="0"/>
        <v>150</v>
      </c>
    </row>
    <row r="24" spans="1:8" ht="15.75" thickBot="1" x14ac:dyDescent="0.3">
      <c r="A24" s="2">
        <v>1020</v>
      </c>
      <c r="B24" s="3" t="s">
        <v>48</v>
      </c>
      <c r="C24" s="3" t="s">
        <v>17</v>
      </c>
      <c r="D24" s="3" t="s">
        <v>15</v>
      </c>
      <c r="E24" s="2">
        <v>18</v>
      </c>
      <c r="F24" s="2">
        <v>25</v>
      </c>
      <c r="G24" s="4">
        <v>45293</v>
      </c>
      <c r="H24" s="10">
        <f t="shared" si="0"/>
        <v>450</v>
      </c>
    </row>
    <row r="25" spans="1:8" ht="30.75" thickBot="1" x14ac:dyDescent="0.3">
      <c r="A25" s="2">
        <v>1021</v>
      </c>
      <c r="B25" s="3" t="s">
        <v>49</v>
      </c>
      <c r="C25" s="3" t="s">
        <v>8</v>
      </c>
      <c r="D25" s="3" t="s">
        <v>9</v>
      </c>
      <c r="E25" s="2">
        <v>9</v>
      </c>
      <c r="F25" s="2">
        <v>50</v>
      </c>
      <c r="G25" s="4">
        <v>45324</v>
      </c>
      <c r="H25" s="10">
        <f t="shared" si="0"/>
        <v>450</v>
      </c>
    </row>
    <row r="26" spans="1:8" ht="15.75" thickBot="1" x14ac:dyDescent="0.3">
      <c r="A26" s="2">
        <v>1022</v>
      </c>
      <c r="B26" s="3" t="s">
        <v>50</v>
      </c>
      <c r="C26" s="3" t="s">
        <v>11</v>
      </c>
      <c r="D26" s="3" t="s">
        <v>19</v>
      </c>
      <c r="E26" s="2">
        <v>35</v>
      </c>
      <c r="F26" s="2">
        <v>5</v>
      </c>
      <c r="G26" s="4">
        <v>45353</v>
      </c>
      <c r="H26" s="10">
        <f t="shared" si="0"/>
        <v>175</v>
      </c>
    </row>
    <row r="27" spans="1:8" ht="15.75" thickBot="1" x14ac:dyDescent="0.3">
      <c r="A27" s="2">
        <v>1023</v>
      </c>
      <c r="B27" s="3" t="s">
        <v>51</v>
      </c>
      <c r="C27" s="3" t="s">
        <v>14</v>
      </c>
      <c r="D27" s="3" t="s">
        <v>22</v>
      </c>
      <c r="E27" s="2">
        <v>30</v>
      </c>
      <c r="F27" s="2">
        <v>8</v>
      </c>
      <c r="G27" s="4">
        <v>45384</v>
      </c>
      <c r="H27" s="10">
        <f t="shared" si="0"/>
        <v>240</v>
      </c>
    </row>
    <row r="28" spans="1:8" ht="30.75" thickBot="1" x14ac:dyDescent="0.3">
      <c r="A28" s="2">
        <v>1024</v>
      </c>
      <c r="B28" s="3" t="s">
        <v>52</v>
      </c>
      <c r="C28" s="3" t="s">
        <v>17</v>
      </c>
      <c r="D28" s="3" t="s">
        <v>9</v>
      </c>
      <c r="E28" s="2">
        <v>11</v>
      </c>
      <c r="F28" s="2">
        <v>50</v>
      </c>
      <c r="G28" s="4">
        <v>45445</v>
      </c>
      <c r="H28" s="10">
        <f t="shared" si="0"/>
        <v>550</v>
      </c>
    </row>
    <row r="29" spans="1:8" ht="30.75" thickBot="1" x14ac:dyDescent="0.3">
      <c r="A29" s="2">
        <v>1025</v>
      </c>
      <c r="B29" s="3" t="s">
        <v>53</v>
      </c>
      <c r="C29" s="3" t="s">
        <v>8</v>
      </c>
      <c r="D29" s="3" t="s">
        <v>12</v>
      </c>
      <c r="E29" s="2">
        <v>14</v>
      </c>
      <c r="F29" s="2">
        <v>10</v>
      </c>
      <c r="G29" s="4">
        <v>45475</v>
      </c>
      <c r="H29" s="10">
        <f t="shared" si="0"/>
        <v>140</v>
      </c>
    </row>
    <row r="30" spans="1:8" ht="30.75" thickBot="1" x14ac:dyDescent="0.3">
      <c r="A30" s="2">
        <v>1026</v>
      </c>
      <c r="B30" s="3" t="s">
        <v>54</v>
      </c>
      <c r="C30" s="3" t="s">
        <v>11</v>
      </c>
      <c r="D30" s="3" t="s">
        <v>15</v>
      </c>
      <c r="E30" s="2">
        <v>16</v>
      </c>
      <c r="F30" s="2">
        <v>25</v>
      </c>
      <c r="G30" s="4">
        <v>45506</v>
      </c>
      <c r="H30" s="10">
        <f t="shared" si="0"/>
        <v>400</v>
      </c>
    </row>
    <row r="31" spans="1:8" ht="15.75" thickBot="1" x14ac:dyDescent="0.3">
      <c r="A31" s="2">
        <v>1027</v>
      </c>
      <c r="B31" s="3" t="s">
        <v>55</v>
      </c>
      <c r="C31" s="3" t="s">
        <v>14</v>
      </c>
      <c r="D31" s="3" t="s">
        <v>19</v>
      </c>
      <c r="E31" s="2">
        <v>22</v>
      </c>
      <c r="F31" s="2">
        <v>5</v>
      </c>
      <c r="G31" s="4">
        <v>45537</v>
      </c>
      <c r="H31" s="10">
        <f t="shared" si="0"/>
        <v>110</v>
      </c>
    </row>
    <row r="32" spans="1:8" ht="15.75" thickBot="1" x14ac:dyDescent="0.3">
      <c r="A32" s="2">
        <v>1028</v>
      </c>
      <c r="B32" s="3" t="s">
        <v>56</v>
      </c>
      <c r="C32" s="3" t="s">
        <v>17</v>
      </c>
      <c r="D32" s="3" t="s">
        <v>22</v>
      </c>
      <c r="E32" s="2">
        <v>27</v>
      </c>
      <c r="F32" s="2">
        <v>8</v>
      </c>
      <c r="G32" s="4">
        <v>45567</v>
      </c>
      <c r="H32" s="10">
        <f t="shared" si="0"/>
        <v>216</v>
      </c>
    </row>
    <row r="33" spans="1:8" ht="30.75" thickBot="1" x14ac:dyDescent="0.3">
      <c r="A33" s="2">
        <v>1029</v>
      </c>
      <c r="B33" s="3" t="s">
        <v>57</v>
      </c>
      <c r="C33" s="3" t="s">
        <v>8</v>
      </c>
      <c r="D33" s="3" t="s">
        <v>9</v>
      </c>
      <c r="E33" s="2">
        <v>13</v>
      </c>
      <c r="F33" s="2">
        <v>50</v>
      </c>
      <c r="G33" s="4">
        <v>45628</v>
      </c>
      <c r="H33" s="10">
        <f t="shared" si="0"/>
        <v>650</v>
      </c>
    </row>
    <row r="34" spans="1:8" ht="30.75" thickBot="1" x14ac:dyDescent="0.3">
      <c r="A34" s="2">
        <v>1030</v>
      </c>
      <c r="B34" s="3" t="s">
        <v>58</v>
      </c>
      <c r="C34" s="3" t="s">
        <v>11</v>
      </c>
      <c r="D34" s="3" t="s">
        <v>12</v>
      </c>
      <c r="E34" s="2">
        <v>32</v>
      </c>
      <c r="F34" s="2">
        <v>10</v>
      </c>
      <c r="G34" s="2" t="s">
        <v>59</v>
      </c>
      <c r="H34" s="10">
        <f t="shared" si="0"/>
        <v>320</v>
      </c>
    </row>
    <row r="35" spans="1:8" ht="30.75" thickBot="1" x14ac:dyDescent="0.3">
      <c r="A35" s="2">
        <v>1031</v>
      </c>
      <c r="B35" s="3" t="s">
        <v>60</v>
      </c>
      <c r="C35" s="3" t="s">
        <v>14</v>
      </c>
      <c r="D35" s="3" t="s">
        <v>15</v>
      </c>
      <c r="E35" s="2">
        <v>10</v>
      </c>
      <c r="F35" s="2">
        <v>25</v>
      </c>
      <c r="G35" s="2" t="s">
        <v>61</v>
      </c>
      <c r="H35" s="10">
        <f t="shared" si="0"/>
        <v>250</v>
      </c>
    </row>
    <row r="36" spans="1:8" ht="30.75" thickBot="1" x14ac:dyDescent="0.3">
      <c r="A36" s="2">
        <v>1032</v>
      </c>
      <c r="B36" s="3" t="s">
        <v>62</v>
      </c>
      <c r="C36" s="3" t="s">
        <v>17</v>
      </c>
      <c r="D36" s="3" t="s">
        <v>19</v>
      </c>
      <c r="E36" s="2">
        <v>18</v>
      </c>
      <c r="F36" s="2">
        <v>5</v>
      </c>
      <c r="G36" s="2" t="s">
        <v>63</v>
      </c>
      <c r="H36" s="10">
        <f t="shared" si="0"/>
        <v>90</v>
      </c>
    </row>
    <row r="37" spans="1:8" ht="30.75" thickBot="1" x14ac:dyDescent="0.3">
      <c r="A37" s="2">
        <v>1033</v>
      </c>
      <c r="B37" s="3" t="s">
        <v>64</v>
      </c>
      <c r="C37" s="3" t="s">
        <v>8</v>
      </c>
      <c r="D37" s="3" t="s">
        <v>22</v>
      </c>
      <c r="E37" s="2">
        <v>22</v>
      </c>
      <c r="F37" s="2">
        <v>8</v>
      </c>
      <c r="G37" s="2" t="s">
        <v>65</v>
      </c>
      <c r="H37" s="10">
        <f t="shared" si="0"/>
        <v>176</v>
      </c>
    </row>
    <row r="38" spans="1:8" ht="30.75" thickBot="1" x14ac:dyDescent="0.3">
      <c r="A38" s="2">
        <v>1034</v>
      </c>
      <c r="B38" s="3" t="s">
        <v>66</v>
      </c>
      <c r="C38" s="3" t="s">
        <v>11</v>
      </c>
      <c r="D38" s="3" t="s">
        <v>9</v>
      </c>
      <c r="E38" s="2">
        <v>17</v>
      </c>
      <c r="F38" s="2">
        <v>50</v>
      </c>
      <c r="G38" s="2" t="s">
        <v>67</v>
      </c>
      <c r="H38" s="10">
        <f t="shared" si="0"/>
        <v>850</v>
      </c>
    </row>
    <row r="39" spans="1:8" ht="30.75" thickBot="1" x14ac:dyDescent="0.3">
      <c r="A39" s="2">
        <v>1035</v>
      </c>
      <c r="B39" s="3" t="s">
        <v>68</v>
      </c>
      <c r="C39" s="3" t="s">
        <v>14</v>
      </c>
      <c r="D39" s="3" t="s">
        <v>12</v>
      </c>
      <c r="E39" s="2">
        <v>19</v>
      </c>
      <c r="F39" s="2">
        <v>10</v>
      </c>
      <c r="G39" s="2" t="s">
        <v>69</v>
      </c>
      <c r="H39" s="10">
        <f t="shared" si="0"/>
        <v>190</v>
      </c>
    </row>
    <row r="40" spans="1:8" ht="30.75" thickBot="1" x14ac:dyDescent="0.3">
      <c r="A40" s="2">
        <v>1036</v>
      </c>
      <c r="B40" s="3" t="s">
        <v>70</v>
      </c>
      <c r="C40" s="3" t="s">
        <v>17</v>
      </c>
      <c r="D40" s="3" t="s">
        <v>15</v>
      </c>
      <c r="E40" s="2">
        <v>15</v>
      </c>
      <c r="F40" s="2">
        <v>25</v>
      </c>
      <c r="G40" s="2" t="s">
        <v>71</v>
      </c>
      <c r="H40" s="10">
        <f t="shared" si="0"/>
        <v>375</v>
      </c>
    </row>
    <row r="41" spans="1:8" ht="30.75" thickBot="1" x14ac:dyDescent="0.3">
      <c r="A41" s="2">
        <v>1037</v>
      </c>
      <c r="B41" s="3" t="s">
        <v>72</v>
      </c>
      <c r="C41" s="3" t="s">
        <v>8</v>
      </c>
      <c r="D41" s="3" t="s">
        <v>19</v>
      </c>
      <c r="E41" s="2">
        <v>28</v>
      </c>
      <c r="F41" s="2">
        <v>5</v>
      </c>
      <c r="G41" s="2" t="s">
        <v>73</v>
      </c>
      <c r="H41" s="10">
        <f t="shared" si="0"/>
        <v>140</v>
      </c>
    </row>
    <row r="42" spans="1:8" ht="30.75" thickBot="1" x14ac:dyDescent="0.3">
      <c r="A42" s="2">
        <v>1038</v>
      </c>
      <c r="B42" s="3" t="s">
        <v>74</v>
      </c>
      <c r="C42" s="3" t="s">
        <v>11</v>
      </c>
      <c r="D42" s="3" t="s">
        <v>22</v>
      </c>
      <c r="E42" s="2">
        <v>24</v>
      </c>
      <c r="F42" s="2">
        <v>8</v>
      </c>
      <c r="G42" s="2" t="s">
        <v>75</v>
      </c>
      <c r="H42" s="10">
        <f t="shared" si="0"/>
        <v>192</v>
      </c>
    </row>
    <row r="43" spans="1:8" ht="30.75" thickBot="1" x14ac:dyDescent="0.3">
      <c r="A43" s="2">
        <v>1039</v>
      </c>
      <c r="B43" s="3" t="s">
        <v>76</v>
      </c>
      <c r="C43" s="3" t="s">
        <v>14</v>
      </c>
      <c r="D43" s="3" t="s">
        <v>9</v>
      </c>
      <c r="E43" s="2">
        <v>16</v>
      </c>
      <c r="F43" s="2">
        <v>50</v>
      </c>
      <c r="G43" s="2" t="s">
        <v>77</v>
      </c>
      <c r="H43" s="10">
        <f t="shared" si="0"/>
        <v>800</v>
      </c>
    </row>
    <row r="44" spans="1:8" ht="30.75" thickBot="1" x14ac:dyDescent="0.3">
      <c r="A44" s="2">
        <v>1040</v>
      </c>
      <c r="B44" s="3" t="s">
        <v>78</v>
      </c>
      <c r="C44" s="3" t="s">
        <v>17</v>
      </c>
      <c r="D44" s="3" t="s">
        <v>12</v>
      </c>
      <c r="E44" s="2">
        <v>27</v>
      </c>
      <c r="F44" s="2">
        <v>10</v>
      </c>
      <c r="G44" s="2" t="s">
        <v>79</v>
      </c>
      <c r="H44" s="10">
        <f t="shared" si="0"/>
        <v>270</v>
      </c>
    </row>
    <row r="45" spans="1:8" ht="30.75" thickBot="1" x14ac:dyDescent="0.3">
      <c r="A45" s="2">
        <v>1041</v>
      </c>
      <c r="B45" s="3" t="s">
        <v>80</v>
      </c>
      <c r="C45" s="3" t="s">
        <v>8</v>
      </c>
      <c r="D45" s="3" t="s">
        <v>15</v>
      </c>
      <c r="E45" s="2">
        <v>21</v>
      </c>
      <c r="F45" s="2">
        <v>25</v>
      </c>
      <c r="G45" s="2" t="s">
        <v>81</v>
      </c>
      <c r="H45" s="10">
        <f t="shared" si="0"/>
        <v>525</v>
      </c>
    </row>
    <row r="46" spans="1:8" ht="30.75" thickBot="1" x14ac:dyDescent="0.3">
      <c r="A46" s="2">
        <v>1042</v>
      </c>
      <c r="B46" s="3" t="s">
        <v>82</v>
      </c>
      <c r="C46" s="3" t="s">
        <v>11</v>
      </c>
      <c r="D46" s="3" t="s">
        <v>19</v>
      </c>
      <c r="E46" s="2">
        <v>30</v>
      </c>
      <c r="F46" s="2">
        <v>5</v>
      </c>
      <c r="G46" s="2" t="s">
        <v>83</v>
      </c>
      <c r="H46" s="10">
        <f t="shared" si="0"/>
        <v>150</v>
      </c>
    </row>
    <row r="47" spans="1:8" ht="30.75" thickBot="1" x14ac:dyDescent="0.3">
      <c r="A47" s="2">
        <v>1043</v>
      </c>
      <c r="B47" s="3" t="s">
        <v>84</v>
      </c>
      <c r="C47" s="3" t="s">
        <v>14</v>
      </c>
      <c r="D47" s="3" t="s">
        <v>22</v>
      </c>
      <c r="E47" s="2">
        <v>26</v>
      </c>
      <c r="F47" s="2">
        <v>8</v>
      </c>
      <c r="G47" s="4">
        <v>45294</v>
      </c>
      <c r="H47" s="10">
        <f t="shared" si="0"/>
        <v>208</v>
      </c>
    </row>
    <row r="48" spans="1:8" ht="30.75" thickBot="1" x14ac:dyDescent="0.3">
      <c r="A48" s="2">
        <v>1044</v>
      </c>
      <c r="B48" s="3" t="s">
        <v>85</v>
      </c>
      <c r="C48" s="3" t="s">
        <v>17</v>
      </c>
      <c r="D48" s="3" t="s">
        <v>9</v>
      </c>
      <c r="E48" s="2">
        <v>14</v>
      </c>
      <c r="F48" s="2">
        <v>50</v>
      </c>
      <c r="G48" s="4">
        <v>45325</v>
      </c>
      <c r="H48" s="10">
        <f t="shared" si="0"/>
        <v>700</v>
      </c>
    </row>
    <row r="49" spans="1:8" ht="15.75" thickBot="1" x14ac:dyDescent="0.3">
      <c r="A49" s="2">
        <v>1045</v>
      </c>
      <c r="B49" s="3" t="s">
        <v>86</v>
      </c>
      <c r="C49" s="3" t="s">
        <v>8</v>
      </c>
      <c r="D49" s="3" t="s">
        <v>12</v>
      </c>
      <c r="E49" s="2">
        <v>20</v>
      </c>
      <c r="F49" s="2">
        <v>10</v>
      </c>
      <c r="G49" s="4">
        <v>45354</v>
      </c>
      <c r="H49" s="10">
        <f t="shared" si="0"/>
        <v>200</v>
      </c>
    </row>
    <row r="50" spans="1:8" ht="15.75" thickBot="1" x14ac:dyDescent="0.3">
      <c r="A50" s="2">
        <v>1046</v>
      </c>
      <c r="B50" s="3" t="s">
        <v>87</v>
      </c>
      <c r="C50" s="3" t="s">
        <v>11</v>
      </c>
      <c r="D50" s="3" t="s">
        <v>15</v>
      </c>
      <c r="E50" s="2">
        <v>17</v>
      </c>
      <c r="F50" s="2">
        <v>25</v>
      </c>
      <c r="G50" s="4">
        <v>45385</v>
      </c>
      <c r="H50" s="10">
        <f t="shared" si="0"/>
        <v>425</v>
      </c>
    </row>
    <row r="51" spans="1:8" ht="15.75" thickBot="1" x14ac:dyDescent="0.3">
      <c r="A51" s="2">
        <v>1047</v>
      </c>
      <c r="B51" s="3" t="s">
        <v>88</v>
      </c>
      <c r="C51" s="3" t="s">
        <v>14</v>
      </c>
      <c r="D51" s="3" t="s">
        <v>19</v>
      </c>
      <c r="E51" s="2">
        <v>19</v>
      </c>
      <c r="F51" s="2">
        <v>5</v>
      </c>
      <c r="G51" s="4">
        <v>45415</v>
      </c>
      <c r="H51" s="10">
        <f t="shared" si="0"/>
        <v>95</v>
      </c>
    </row>
    <row r="52" spans="1:8" ht="15.75" thickBot="1" x14ac:dyDescent="0.3">
      <c r="A52" s="2">
        <v>1048</v>
      </c>
      <c r="B52" s="3" t="s">
        <v>89</v>
      </c>
      <c r="C52" s="3" t="s">
        <v>17</v>
      </c>
      <c r="D52" s="3" t="s">
        <v>22</v>
      </c>
      <c r="E52" s="2">
        <v>32</v>
      </c>
      <c r="F52" s="2">
        <v>8</v>
      </c>
      <c r="G52" s="4">
        <v>45446</v>
      </c>
      <c r="H52" s="10">
        <f t="shared" si="0"/>
        <v>256</v>
      </c>
    </row>
    <row r="53" spans="1:8" ht="30.75" thickBot="1" x14ac:dyDescent="0.3">
      <c r="A53" s="2">
        <v>1049</v>
      </c>
      <c r="B53" s="3" t="s">
        <v>90</v>
      </c>
      <c r="C53" s="3" t="s">
        <v>8</v>
      </c>
      <c r="D53" s="3" t="s">
        <v>9</v>
      </c>
      <c r="E53" s="2">
        <v>12</v>
      </c>
      <c r="F53" s="2">
        <v>50</v>
      </c>
      <c r="G53" s="4">
        <v>45476</v>
      </c>
      <c r="H53" s="10">
        <f t="shared" si="0"/>
        <v>600</v>
      </c>
    </row>
    <row r="54" spans="1:8" ht="30" x14ac:dyDescent="0.25">
      <c r="A54" s="5">
        <v>1050</v>
      </c>
      <c r="B54" s="6" t="s">
        <v>91</v>
      </c>
      <c r="C54" s="6" t="s">
        <v>11</v>
      </c>
      <c r="D54" s="6" t="s">
        <v>12</v>
      </c>
      <c r="E54" s="5">
        <v>25</v>
      </c>
      <c r="F54" s="5">
        <v>10</v>
      </c>
      <c r="G54" s="7">
        <v>45507</v>
      </c>
      <c r="H54" s="10">
        <f t="shared" si="0"/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2025-12-15T12:29:29Z</dcterms:modified>
</cp:coreProperties>
</file>