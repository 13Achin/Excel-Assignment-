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 Analytics\Assignments\"/>
    </mc:Choice>
  </mc:AlternateContent>
  <xr:revisionPtr revIDLastSave="0" documentId="13_ncr:1_{FB417EDD-B6DC-4317-9A96-D2EC852C5C91}" xr6:coauthVersionLast="47" xr6:coauthVersionMax="47" xr10:uidLastSave="{00000000-0000-0000-0000-000000000000}"/>
  <bookViews>
    <workbookView xWindow="-120" yWindow="-120" windowWidth="20730" windowHeight="11160" xr2:uid="{9065BEB4-1C4E-44BD-835B-311B112011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0" i="1" l="1"/>
  <c r="D106" i="1"/>
  <c r="E94" i="1"/>
  <c r="E95" i="1"/>
  <c r="E93" i="1"/>
  <c r="D76" i="1"/>
  <c r="E58" i="1"/>
  <c r="D47" i="1"/>
  <c r="D44" i="1"/>
  <c r="D45" i="1"/>
  <c r="D46" i="1"/>
  <c r="D43" i="1"/>
  <c r="E28" i="1"/>
  <c r="E29" i="1"/>
  <c r="E30" i="1"/>
  <c r="E27" i="1"/>
  <c r="D12" i="1"/>
  <c r="D13" i="1"/>
  <c r="D14" i="1"/>
  <c r="D15" i="1"/>
  <c r="D11" i="1"/>
</calcChain>
</file>

<file path=xl/sharedStrings.xml><?xml version="1.0" encoding="utf-8"?>
<sst xmlns="http://schemas.openxmlformats.org/spreadsheetml/2006/main" count="163" uniqueCount="74">
  <si>
    <t>Q.1</t>
  </si>
  <si>
    <t>.</t>
  </si>
  <si>
    <t>Write a formula to check if the marks in cell "B2" are greater than or equal to 40. If yes , return "Pass" , otherwise "Fail.</t>
  </si>
  <si>
    <t>Student</t>
  </si>
  <si>
    <t>Marks</t>
  </si>
  <si>
    <t>Riya</t>
  </si>
  <si>
    <t>Siya</t>
  </si>
  <si>
    <t>Raju</t>
  </si>
  <si>
    <t>Rahul</t>
  </si>
  <si>
    <t>Ram</t>
  </si>
  <si>
    <t>Ans.</t>
  </si>
  <si>
    <t>Result</t>
  </si>
  <si>
    <t>Q.2</t>
  </si>
  <si>
    <t xml:space="preserve">A company gives a bonus  if sales are above 40,000 and attendance is greater than or equal to 90%. Write a </t>
  </si>
  <si>
    <t>formula to calculate whether the employee will get a bonus or not .</t>
  </si>
  <si>
    <t>Employee</t>
  </si>
  <si>
    <t>Sales</t>
  </si>
  <si>
    <t>Attendance</t>
  </si>
  <si>
    <t>Arjun</t>
  </si>
  <si>
    <t>Simran</t>
  </si>
  <si>
    <t>Rohit</t>
  </si>
  <si>
    <t>Anjali</t>
  </si>
  <si>
    <t>Ans</t>
  </si>
  <si>
    <t>Q.3</t>
  </si>
  <si>
    <t>Write a nested IF formula: </t>
  </si>
  <si>
    <t>If marks in are ≥ 90 → , ≥ 75 → , ≥ 50 → , otherwise . B2 "A" "B" "C" "Fail"</t>
  </si>
  <si>
    <t>Student Name</t>
  </si>
  <si>
    <t>Raj</t>
  </si>
  <si>
    <t>Neha</t>
  </si>
  <si>
    <t>Vivek</t>
  </si>
  <si>
    <t>Rani</t>
  </si>
  <si>
    <t>Sneha</t>
  </si>
  <si>
    <t>Q.4</t>
  </si>
  <si>
    <t>EmpID</t>
  </si>
  <si>
    <t>Name</t>
  </si>
  <si>
    <t>Department</t>
  </si>
  <si>
    <t>E101</t>
  </si>
  <si>
    <t>E102</t>
  </si>
  <si>
    <t>E103</t>
  </si>
  <si>
    <t>E104</t>
  </si>
  <si>
    <t>Roshini</t>
  </si>
  <si>
    <t>Sejal</t>
  </si>
  <si>
    <t>IT</t>
  </si>
  <si>
    <t>HR</t>
  </si>
  <si>
    <t>Finance</t>
  </si>
  <si>
    <t>Find the Department of Employee ID = E103. Also explain which LOOKUP function is used and why?</t>
  </si>
  <si>
    <t xml:space="preserve">I used VLOOKUP Function. Because </t>
  </si>
  <si>
    <t xml:space="preserve"> .Because this funtion work for vertically arrange data and we are searching a vertical value.</t>
  </si>
  <si>
    <t>Q.5</t>
  </si>
  <si>
    <t xml:space="preserve"> company has set the following commission structure for its sales team:</t>
  </si>
  <si>
    <t>Sales Amount</t>
  </si>
  <si>
    <t>Commission Rate</t>
  </si>
  <si>
    <t xml:space="preserve">If a salesperson achieves sales of ₹45,000, use the VLOOKUP function to determine the commission rate </t>
  </si>
  <si>
    <t>applicable.</t>
  </si>
  <si>
    <t>Q.6</t>
  </si>
  <si>
    <t>The HR department maintains the following leave records of employees:onus or not .</t>
  </si>
  <si>
    <t>Write an IF function to check whether an employee has Exceeded their allowed leave balance.</t>
  </si>
  <si>
    <t>If Leaves Taken &gt; Allowed Leaves, display "Exceeded".</t>
  </si>
  <si>
    <t>Otherwise, display "OK"</t>
  </si>
  <si>
    <t>Leaves Taken</t>
  </si>
  <si>
    <t>Leaves Allowed</t>
  </si>
  <si>
    <t>Alex</t>
  </si>
  <si>
    <t>Bob</t>
  </si>
  <si>
    <t>Anna</t>
  </si>
  <si>
    <t>Q.7</t>
  </si>
  <si>
    <t>Find the salary of EmpID = E105 using INDEX-MATCH Function.</t>
  </si>
  <si>
    <t>Salary</t>
  </si>
  <si>
    <t>E105</t>
  </si>
  <si>
    <t>E106</t>
  </si>
  <si>
    <t>Q.8</t>
  </si>
  <si>
    <t>Use the XLOOKUP function to find the Department of the employee with Emp ID = E303.</t>
  </si>
  <si>
    <t>E303</t>
  </si>
  <si>
    <t>E301</t>
  </si>
  <si>
    <t>E303 Department is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</si>
</sst>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0" fillId="0" borderId="1" xfId="0" applyBorder="1"/>
    <xf numFmtId="0" fontId="3" fillId="0" borderId="1" xfId="0" applyFont="1" applyBorder="1" applyAlignment="1">
      <alignment horizontal="center"/>
    </xf>
    <xf numFmtId="9" fontId="0" fillId="0" borderId="0" xfId="0" applyNumberFormat="1"/>
    <xf numFmtId="0" fontId="1" fillId="0" borderId="1" xfId="0" applyFont="1" applyBorder="1"/>
    <xf numFmtId="0" fontId="0" fillId="0" borderId="1" xfId="0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indent="1"/>
    </xf>
    <xf numFmtId="0" fontId="0" fillId="2" borderId="1" xfId="0" applyFill="1" applyBorder="1"/>
    <xf numFmtId="0" fontId="1" fillId="2" borderId="1" xfId="0" applyFont="1" applyFill="1" applyBorder="1"/>
    <xf numFmtId="9" fontId="0" fillId="0" borderId="1" xfId="0" applyNumberFormat="1" applyBorder="1"/>
    <xf numFmtId="10" fontId="0" fillId="0" borderId="1" xfId="0" applyNumberFormat="1" applyBorder="1"/>
    <xf numFmtId="0" fontId="3" fillId="0" borderId="1" xfId="0" applyFont="1" applyBorder="1"/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5ECA4-A603-4817-B2B7-48DB69DFD8C3}">
  <dimension ref="A1:P125"/>
  <sheetViews>
    <sheetView tabSelected="1" topLeftCell="A55" workbookViewId="0">
      <selection activeCell="D106" sqref="D106"/>
    </sheetView>
  </sheetViews>
  <sheetFormatPr defaultRowHeight="15" x14ac:dyDescent="0.25"/>
  <cols>
    <col min="1" max="1" width="6.5703125" customWidth="1"/>
    <col min="2" max="2" width="15.28515625" customWidth="1"/>
    <col min="3" max="3" width="15.85546875" customWidth="1"/>
    <col min="4" max="4" width="14.85546875" customWidth="1"/>
    <col min="13" max="13" width="15.85546875" customWidth="1"/>
    <col min="14" max="14" width="13.85546875" customWidth="1"/>
  </cols>
  <sheetData>
    <row r="1" spans="1:4" ht="18.75" customHeight="1" x14ac:dyDescent="0.25">
      <c r="A1" t="s">
        <v>0</v>
      </c>
      <c r="B1" t="s">
        <v>2</v>
      </c>
    </row>
    <row r="2" spans="1:4" x14ac:dyDescent="0.25">
      <c r="B2" t="s">
        <v>1</v>
      </c>
    </row>
    <row r="3" spans="1:4" x14ac:dyDescent="0.25">
      <c r="B3" s="9" t="s">
        <v>3</v>
      </c>
      <c r="C3" s="9" t="s">
        <v>4</v>
      </c>
    </row>
    <row r="4" spans="1:4" x14ac:dyDescent="0.25">
      <c r="B4" s="6" t="s">
        <v>5</v>
      </c>
      <c r="C4" s="6">
        <v>45</v>
      </c>
    </row>
    <row r="5" spans="1:4" x14ac:dyDescent="0.25">
      <c r="B5" s="6" t="s">
        <v>6</v>
      </c>
      <c r="C5" s="6">
        <v>72</v>
      </c>
    </row>
    <row r="6" spans="1:4" x14ac:dyDescent="0.25">
      <c r="B6" s="6" t="s">
        <v>7</v>
      </c>
      <c r="C6" s="6">
        <v>55</v>
      </c>
    </row>
    <row r="7" spans="1:4" x14ac:dyDescent="0.25">
      <c r="B7" s="6" t="s">
        <v>8</v>
      </c>
      <c r="C7" s="6">
        <v>80</v>
      </c>
    </row>
    <row r="8" spans="1:4" x14ac:dyDescent="0.25">
      <c r="B8" s="6" t="s">
        <v>9</v>
      </c>
      <c r="C8" s="6">
        <v>30</v>
      </c>
    </row>
    <row r="10" spans="1:4" x14ac:dyDescent="0.25">
      <c r="A10" t="s">
        <v>10</v>
      </c>
      <c r="B10" s="9" t="s">
        <v>3</v>
      </c>
      <c r="C10" s="9" t="s">
        <v>4</v>
      </c>
      <c r="D10" s="12" t="s">
        <v>11</v>
      </c>
    </row>
    <row r="11" spans="1:4" x14ac:dyDescent="0.25">
      <c r="B11" s="6" t="s">
        <v>5</v>
      </c>
      <c r="C11" s="6">
        <v>45</v>
      </c>
      <c r="D11" s="12" t="str">
        <f>IF($C11&gt;=40,"Pass","Fail")</f>
        <v>Pass</v>
      </c>
    </row>
    <row r="12" spans="1:4" x14ac:dyDescent="0.25">
      <c r="B12" s="6" t="s">
        <v>6</v>
      </c>
      <c r="C12" s="6">
        <v>72</v>
      </c>
      <c r="D12" s="12" t="str">
        <f t="shared" ref="D12:D15" si="0">IF($C12&gt;=40,"Pass","Fail")</f>
        <v>Pass</v>
      </c>
    </row>
    <row r="13" spans="1:4" x14ac:dyDescent="0.25">
      <c r="B13" s="6" t="s">
        <v>7</v>
      </c>
      <c r="C13" s="6">
        <v>55</v>
      </c>
      <c r="D13" s="12" t="str">
        <f t="shared" si="0"/>
        <v>Pass</v>
      </c>
    </row>
    <row r="14" spans="1:4" x14ac:dyDescent="0.25">
      <c r="B14" s="6" t="s">
        <v>8</v>
      </c>
      <c r="C14" s="6">
        <v>80</v>
      </c>
      <c r="D14" s="12" t="str">
        <f t="shared" si="0"/>
        <v>Pass</v>
      </c>
    </row>
    <row r="15" spans="1:4" x14ac:dyDescent="0.25">
      <c r="B15" s="6" t="s">
        <v>9</v>
      </c>
      <c r="C15" s="6">
        <v>30</v>
      </c>
      <c r="D15" s="12" t="str">
        <f t="shared" si="0"/>
        <v>Fail</v>
      </c>
    </row>
    <row r="17" spans="1:5" x14ac:dyDescent="0.25">
      <c r="A17" t="s">
        <v>12</v>
      </c>
      <c r="B17" t="s">
        <v>13</v>
      </c>
    </row>
    <row r="18" spans="1:5" x14ac:dyDescent="0.25">
      <c r="B18" t="s">
        <v>14</v>
      </c>
    </row>
    <row r="20" spans="1:5" x14ac:dyDescent="0.25">
      <c r="B20" s="9" t="s">
        <v>15</v>
      </c>
      <c r="C20" s="9" t="s">
        <v>16</v>
      </c>
      <c r="D20" s="9" t="s">
        <v>17</v>
      </c>
    </row>
    <row r="21" spans="1:5" x14ac:dyDescent="0.25">
      <c r="B21" s="6" t="s">
        <v>18</v>
      </c>
      <c r="C21" s="6">
        <v>55000</v>
      </c>
      <c r="D21" s="6">
        <v>95</v>
      </c>
    </row>
    <row r="22" spans="1:5" x14ac:dyDescent="0.25">
      <c r="B22" s="6" t="s">
        <v>19</v>
      </c>
      <c r="C22" s="6">
        <v>65000</v>
      </c>
      <c r="D22" s="6">
        <v>85</v>
      </c>
    </row>
    <row r="23" spans="1:5" x14ac:dyDescent="0.25">
      <c r="B23" s="6" t="s">
        <v>20</v>
      </c>
      <c r="C23" s="6">
        <v>30000</v>
      </c>
      <c r="D23" s="6">
        <v>90</v>
      </c>
    </row>
    <row r="24" spans="1:5" x14ac:dyDescent="0.25">
      <c r="B24" s="6" t="s">
        <v>21</v>
      </c>
      <c r="C24" s="6">
        <v>25000</v>
      </c>
      <c r="D24" s="6">
        <v>65</v>
      </c>
    </row>
    <row r="26" spans="1:5" x14ac:dyDescent="0.25">
      <c r="A26" t="s">
        <v>22</v>
      </c>
      <c r="B26" s="9" t="s">
        <v>15</v>
      </c>
      <c r="C26" s="9" t="s">
        <v>16</v>
      </c>
      <c r="D26" s="9" t="s">
        <v>17</v>
      </c>
      <c r="E26" s="12" t="s">
        <v>11</v>
      </c>
    </row>
    <row r="27" spans="1:5" x14ac:dyDescent="0.25">
      <c r="B27" s="6" t="s">
        <v>18</v>
      </c>
      <c r="C27" s="6">
        <v>55000</v>
      </c>
      <c r="D27" s="6">
        <v>95</v>
      </c>
      <c r="E27" s="12" t="str">
        <f>IF(AND($C27&gt;40000,$D27&gt;=90),"Bonus","No Bonus")</f>
        <v>Bonus</v>
      </c>
    </row>
    <row r="28" spans="1:5" x14ac:dyDescent="0.25">
      <c r="B28" s="6" t="s">
        <v>19</v>
      </c>
      <c r="C28" s="6">
        <v>65000</v>
      </c>
      <c r="D28" s="6">
        <v>85</v>
      </c>
      <c r="E28" s="12" t="str">
        <f t="shared" ref="E28:E30" si="1">IF(AND($C28&gt;40000,$D28&gt;=90),"Bonus","No Bonus")</f>
        <v>No Bonus</v>
      </c>
    </row>
    <row r="29" spans="1:5" x14ac:dyDescent="0.25">
      <c r="B29" s="6" t="s">
        <v>20</v>
      </c>
      <c r="C29" s="6">
        <v>30000</v>
      </c>
      <c r="D29" s="6">
        <v>90</v>
      </c>
      <c r="E29" s="12" t="str">
        <f t="shared" si="1"/>
        <v>No Bonus</v>
      </c>
    </row>
    <row r="30" spans="1:5" x14ac:dyDescent="0.25">
      <c r="B30" s="6" t="s">
        <v>21</v>
      </c>
      <c r="C30" s="6">
        <v>25000</v>
      </c>
      <c r="D30" s="6">
        <v>65</v>
      </c>
      <c r="E30" s="12" t="str">
        <f t="shared" si="1"/>
        <v>No Bonus</v>
      </c>
    </row>
    <row r="32" spans="1:5" x14ac:dyDescent="0.25">
      <c r="A32" t="s">
        <v>23</v>
      </c>
      <c r="B32" t="s">
        <v>24</v>
      </c>
    </row>
    <row r="33" spans="1:4" x14ac:dyDescent="0.25">
      <c r="B33" s="1" t="s">
        <v>25</v>
      </c>
    </row>
    <row r="34" spans="1:4" x14ac:dyDescent="0.25">
      <c r="B34" s="2"/>
    </row>
    <row r="35" spans="1:4" x14ac:dyDescent="0.25">
      <c r="B35" s="11" t="s">
        <v>26</v>
      </c>
      <c r="C35" s="9" t="s">
        <v>4</v>
      </c>
    </row>
    <row r="36" spans="1:4" x14ac:dyDescent="0.25">
      <c r="B36" s="10" t="s">
        <v>27</v>
      </c>
      <c r="C36" s="6">
        <v>85</v>
      </c>
    </row>
    <row r="37" spans="1:4" x14ac:dyDescent="0.25">
      <c r="B37" s="10" t="s">
        <v>28</v>
      </c>
      <c r="C37" s="6">
        <v>96</v>
      </c>
    </row>
    <row r="38" spans="1:4" x14ac:dyDescent="0.25">
      <c r="B38" s="10" t="s">
        <v>29</v>
      </c>
      <c r="C38" s="6">
        <v>57</v>
      </c>
    </row>
    <row r="39" spans="1:4" x14ac:dyDescent="0.25">
      <c r="B39" s="10" t="s">
        <v>30</v>
      </c>
      <c r="C39" s="6">
        <v>92</v>
      </c>
    </row>
    <row r="40" spans="1:4" x14ac:dyDescent="0.25">
      <c r="B40" s="10" t="s">
        <v>31</v>
      </c>
      <c r="C40" s="6">
        <v>75</v>
      </c>
    </row>
    <row r="42" spans="1:4" x14ac:dyDescent="0.25">
      <c r="A42" t="s">
        <v>22</v>
      </c>
      <c r="B42" s="11" t="s">
        <v>26</v>
      </c>
      <c r="C42" s="9" t="s">
        <v>4</v>
      </c>
      <c r="D42" s="12" t="s">
        <v>11</v>
      </c>
    </row>
    <row r="43" spans="1:4" x14ac:dyDescent="0.25">
      <c r="B43" s="10" t="s">
        <v>27</v>
      </c>
      <c r="C43" s="6">
        <v>85</v>
      </c>
      <c r="D43" s="12" t="str">
        <f>IF(C43&gt;=90,"A",IF(C43&gt;=75,"B",IF(C43&gt;=50,"C","Fail")))</f>
        <v>B</v>
      </c>
    </row>
    <row r="44" spans="1:4" x14ac:dyDescent="0.25">
      <c r="B44" s="10" t="s">
        <v>28</v>
      </c>
      <c r="C44" s="6">
        <v>96</v>
      </c>
      <c r="D44" s="12" t="str">
        <f t="shared" ref="D44:D46" si="2">IF(C44&gt;=90,"A",IF(C44&gt;=75,"B",IF(C44&gt;=50,"C","Fail")))</f>
        <v>A</v>
      </c>
    </row>
    <row r="45" spans="1:4" x14ac:dyDescent="0.25">
      <c r="B45" s="10" t="s">
        <v>29</v>
      </c>
      <c r="C45" s="6">
        <v>57</v>
      </c>
      <c r="D45" s="12" t="str">
        <f t="shared" si="2"/>
        <v>C</v>
      </c>
    </row>
    <row r="46" spans="1:4" x14ac:dyDescent="0.25">
      <c r="B46" s="10" t="s">
        <v>30</v>
      </c>
      <c r="C46" s="6">
        <v>92</v>
      </c>
      <c r="D46" s="12" t="str">
        <f t="shared" si="2"/>
        <v>A</v>
      </c>
    </row>
    <row r="47" spans="1:4" x14ac:dyDescent="0.25">
      <c r="B47" s="10" t="s">
        <v>31</v>
      </c>
      <c r="C47" s="6">
        <v>75</v>
      </c>
      <c r="D47" s="12" t="str">
        <f>IF(C47&gt;=90,"A",IF(C47&gt;=75,"B",IF(C47&gt;=50,"C","Fail")))</f>
        <v>B</v>
      </c>
    </row>
    <row r="49" spans="1:16" x14ac:dyDescent="0.25">
      <c r="A49" t="s">
        <v>32</v>
      </c>
      <c r="B49" t="s">
        <v>45</v>
      </c>
    </row>
    <row r="51" spans="1:16" x14ac:dyDescent="0.25">
      <c r="B51" s="9" t="s">
        <v>33</v>
      </c>
      <c r="C51" s="9" t="s">
        <v>34</v>
      </c>
      <c r="D51" s="9" t="s">
        <v>35</v>
      </c>
    </row>
    <row r="52" spans="1:16" x14ac:dyDescent="0.25">
      <c r="B52" s="6" t="s">
        <v>36</v>
      </c>
      <c r="C52" s="6" t="s">
        <v>7</v>
      </c>
      <c r="D52" s="6" t="s">
        <v>42</v>
      </c>
    </row>
    <row r="53" spans="1:16" x14ac:dyDescent="0.25">
      <c r="B53" s="6" t="s">
        <v>37</v>
      </c>
      <c r="C53" s="6" t="s">
        <v>5</v>
      </c>
      <c r="D53" s="6" t="s">
        <v>43</v>
      </c>
    </row>
    <row r="54" spans="1:16" x14ac:dyDescent="0.25">
      <c r="B54" s="6" t="s">
        <v>38</v>
      </c>
      <c r="C54" s="6" t="s">
        <v>40</v>
      </c>
      <c r="D54" s="6" t="s">
        <v>44</v>
      </c>
    </row>
    <row r="55" spans="1:16" x14ac:dyDescent="0.25">
      <c r="B55" s="6" t="s">
        <v>39</v>
      </c>
      <c r="C55" s="6" t="s">
        <v>41</v>
      </c>
      <c r="D55" s="6" t="s">
        <v>16</v>
      </c>
    </row>
    <row r="57" spans="1:16" x14ac:dyDescent="0.25">
      <c r="A57" t="s">
        <v>22</v>
      </c>
      <c r="B57" s="9" t="s">
        <v>33</v>
      </c>
      <c r="C57" s="9" t="s">
        <v>34</v>
      </c>
      <c r="D57" s="9" t="s">
        <v>35</v>
      </c>
      <c r="E57" s="13" t="s">
        <v>11</v>
      </c>
    </row>
    <row r="58" spans="1:16" x14ac:dyDescent="0.25">
      <c r="B58" s="6" t="s">
        <v>36</v>
      </c>
      <c r="C58" s="6" t="s">
        <v>7</v>
      </c>
      <c r="D58" s="6" t="s">
        <v>42</v>
      </c>
      <c r="E58" s="12" t="str">
        <f>VLOOKUP(B60,B58:D61,3,FALSE)</f>
        <v>Finance</v>
      </c>
    </row>
    <row r="59" spans="1:16" x14ac:dyDescent="0.25">
      <c r="B59" s="6" t="s">
        <v>37</v>
      </c>
      <c r="C59" s="6" t="s">
        <v>5</v>
      </c>
      <c r="D59" s="6" t="s">
        <v>43</v>
      </c>
      <c r="E59" s="12"/>
    </row>
    <row r="60" spans="1:16" x14ac:dyDescent="0.25">
      <c r="B60" s="6" t="s">
        <v>38</v>
      </c>
      <c r="C60" s="6" t="s">
        <v>40</v>
      </c>
      <c r="D60" s="6" t="s">
        <v>44</v>
      </c>
      <c r="E60" s="12"/>
    </row>
    <row r="61" spans="1:16" x14ac:dyDescent="0.25">
      <c r="B61" s="6" t="s">
        <v>39</v>
      </c>
      <c r="C61" s="6" t="s">
        <v>41</v>
      </c>
      <c r="D61" s="6" t="s">
        <v>16</v>
      </c>
      <c r="E61" s="12"/>
    </row>
    <row r="62" spans="1:16" ht="15" customHeight="1" x14ac:dyDescent="0.25">
      <c r="K62" s="5"/>
      <c r="L62" s="5"/>
      <c r="M62" s="5"/>
      <c r="N62" s="5"/>
      <c r="O62" s="5"/>
      <c r="P62" s="5"/>
    </row>
    <row r="63" spans="1:16" ht="15" customHeight="1" x14ac:dyDescent="0.25">
      <c r="B63" s="3" t="s">
        <v>46</v>
      </c>
      <c r="C63" s="3" t="s">
        <v>47</v>
      </c>
    </row>
    <row r="64" spans="1:16" x14ac:dyDescent="0.25">
      <c r="F64" s="3"/>
      <c r="G64" s="3"/>
      <c r="H64" s="3"/>
      <c r="I64" s="3"/>
      <c r="J64" s="3"/>
      <c r="K64" s="3"/>
      <c r="L64" s="3"/>
    </row>
    <row r="65" spans="1:4" ht="15.75" x14ac:dyDescent="0.3">
      <c r="A65" t="s">
        <v>48</v>
      </c>
      <c r="B65" s="4" t="s">
        <v>49</v>
      </c>
    </row>
    <row r="67" spans="1:4" x14ac:dyDescent="0.25">
      <c r="B67" s="9" t="s">
        <v>50</v>
      </c>
      <c r="C67" s="9" t="s">
        <v>51</v>
      </c>
    </row>
    <row r="68" spans="1:4" x14ac:dyDescent="0.25">
      <c r="B68" s="6">
        <v>0</v>
      </c>
      <c r="C68" s="14">
        <v>0.05</v>
      </c>
    </row>
    <row r="69" spans="1:4" x14ac:dyDescent="0.25">
      <c r="B69" s="6">
        <v>20000</v>
      </c>
      <c r="C69" s="14">
        <v>0.1</v>
      </c>
    </row>
    <row r="70" spans="1:4" x14ac:dyDescent="0.25">
      <c r="B70" s="6">
        <v>50000</v>
      </c>
      <c r="C70" s="14">
        <v>0.15</v>
      </c>
    </row>
    <row r="71" spans="1:4" x14ac:dyDescent="0.25">
      <c r="B71" s="6">
        <v>80000</v>
      </c>
      <c r="C71" s="14">
        <v>0.2</v>
      </c>
    </row>
    <row r="72" spans="1:4" x14ac:dyDescent="0.25">
      <c r="B72" t="s">
        <v>52</v>
      </c>
    </row>
    <row r="73" spans="1:4" x14ac:dyDescent="0.25">
      <c r="B73" t="s">
        <v>53</v>
      </c>
    </row>
    <row r="74" spans="1:4" x14ac:dyDescent="0.25">
      <c r="C74" s="8"/>
    </row>
    <row r="75" spans="1:4" x14ac:dyDescent="0.25">
      <c r="A75" t="s">
        <v>22</v>
      </c>
      <c r="B75" s="9" t="s">
        <v>50</v>
      </c>
      <c r="C75" s="9" t="s">
        <v>51</v>
      </c>
      <c r="D75" s="9" t="s">
        <v>11</v>
      </c>
    </row>
    <row r="76" spans="1:4" x14ac:dyDescent="0.25">
      <c r="B76" s="6">
        <v>0</v>
      </c>
      <c r="C76" s="14">
        <v>0.05</v>
      </c>
      <c r="D76" s="15">
        <f>VLOOKUP(45000,B75:C79,2,TRUE)</f>
        <v>0.1</v>
      </c>
    </row>
    <row r="77" spans="1:4" x14ac:dyDescent="0.25">
      <c r="B77" s="6">
        <v>20000</v>
      </c>
      <c r="C77" s="14">
        <v>0.1</v>
      </c>
      <c r="D77" s="6"/>
    </row>
    <row r="78" spans="1:4" x14ac:dyDescent="0.25">
      <c r="B78" s="6">
        <v>50000</v>
      </c>
      <c r="C78" s="14">
        <v>0.15</v>
      </c>
      <c r="D78" s="6"/>
    </row>
    <row r="79" spans="1:4" x14ac:dyDescent="0.25">
      <c r="B79" s="6">
        <v>80000</v>
      </c>
      <c r="C79" s="14">
        <v>0.2</v>
      </c>
      <c r="D79" s="6"/>
    </row>
    <row r="81" spans="1:14" x14ac:dyDescent="0.25">
      <c r="A81" t="s">
        <v>54</v>
      </c>
      <c r="B81" t="s">
        <v>55</v>
      </c>
    </row>
    <row r="82" spans="1:14" x14ac:dyDescent="0.25">
      <c r="B82" t="s">
        <v>56</v>
      </c>
    </row>
    <row r="83" spans="1:14" x14ac:dyDescent="0.25">
      <c r="B83" s="3" t="s">
        <v>57</v>
      </c>
      <c r="C83" s="3"/>
      <c r="D83" s="3"/>
      <c r="E83" s="3"/>
    </row>
    <row r="84" spans="1:14" x14ac:dyDescent="0.25">
      <c r="B84" s="3" t="s">
        <v>58</v>
      </c>
      <c r="C84" s="3"/>
      <c r="D84" s="3"/>
      <c r="E84" s="3"/>
    </row>
    <row r="86" spans="1:14" x14ac:dyDescent="0.25">
      <c r="B86" s="9" t="s">
        <v>15</v>
      </c>
      <c r="C86" s="9" t="s">
        <v>59</v>
      </c>
      <c r="D86" s="9" t="s">
        <v>60</v>
      </c>
    </row>
    <row r="87" spans="1:14" x14ac:dyDescent="0.25">
      <c r="B87" s="16" t="s">
        <v>61</v>
      </c>
      <c r="C87" s="7">
        <v>10</v>
      </c>
      <c r="D87" s="7">
        <v>12</v>
      </c>
    </row>
    <row r="88" spans="1:14" x14ac:dyDescent="0.25">
      <c r="B88" s="16" t="s">
        <v>62</v>
      </c>
      <c r="C88" s="7">
        <v>10</v>
      </c>
      <c r="D88" s="7">
        <v>15</v>
      </c>
    </row>
    <row r="89" spans="1:14" x14ac:dyDescent="0.25">
      <c r="B89" s="16" t="s">
        <v>63</v>
      </c>
      <c r="C89" s="7">
        <v>8</v>
      </c>
      <c r="D89" s="7">
        <v>12</v>
      </c>
    </row>
    <row r="92" spans="1:14" x14ac:dyDescent="0.25">
      <c r="A92" t="s">
        <v>22</v>
      </c>
      <c r="B92" s="9" t="s">
        <v>15</v>
      </c>
      <c r="C92" s="9" t="s">
        <v>59</v>
      </c>
      <c r="D92" s="9" t="s">
        <v>60</v>
      </c>
      <c r="E92" s="9" t="s">
        <v>11</v>
      </c>
    </row>
    <row r="93" spans="1:14" x14ac:dyDescent="0.25">
      <c r="B93" s="16" t="s">
        <v>61</v>
      </c>
      <c r="C93" s="7">
        <v>10</v>
      </c>
      <c r="D93" s="7">
        <v>12</v>
      </c>
      <c r="E93" s="6" t="str">
        <f>IF(C93&gt;D93,"Exceeded","OK")</f>
        <v>OK</v>
      </c>
    </row>
    <row r="94" spans="1:14" x14ac:dyDescent="0.25">
      <c r="B94" s="16" t="s">
        <v>62</v>
      </c>
      <c r="C94" s="7">
        <v>10</v>
      </c>
      <c r="D94" s="7">
        <v>15</v>
      </c>
      <c r="E94" s="6" t="str">
        <f t="shared" ref="E94:E95" si="3">IF(C94&gt;D94,"Exceeded","OK")</f>
        <v>OK</v>
      </c>
      <c r="M94" s="17"/>
      <c r="N94" s="17"/>
    </row>
    <row r="95" spans="1:14" x14ac:dyDescent="0.25">
      <c r="B95" s="16" t="s">
        <v>63</v>
      </c>
      <c r="C95" s="7">
        <v>8</v>
      </c>
      <c r="D95" s="7">
        <v>12</v>
      </c>
      <c r="E95" s="6" t="str">
        <f t="shared" si="3"/>
        <v>OK</v>
      </c>
      <c r="M95" s="18"/>
      <c r="N95" s="19"/>
    </row>
    <row r="96" spans="1:14" x14ac:dyDescent="0.25">
      <c r="M96" s="18"/>
      <c r="N96" s="19"/>
    </row>
    <row r="97" spans="1:14" x14ac:dyDescent="0.25">
      <c r="A97" t="s">
        <v>64</v>
      </c>
      <c r="B97" t="s">
        <v>65</v>
      </c>
      <c r="M97" s="18"/>
      <c r="N97" s="19"/>
    </row>
    <row r="98" spans="1:14" x14ac:dyDescent="0.25">
      <c r="M98" s="18"/>
      <c r="N98" s="19"/>
    </row>
    <row r="99" spans="1:14" x14ac:dyDescent="0.25">
      <c r="B99" s="9" t="s">
        <v>33</v>
      </c>
      <c r="C99" s="9" t="s">
        <v>66</v>
      </c>
    </row>
    <row r="100" spans="1:14" x14ac:dyDescent="0.25">
      <c r="B100" s="6" t="s">
        <v>39</v>
      </c>
      <c r="C100" s="6">
        <v>55000</v>
      </c>
    </row>
    <row r="101" spans="1:14" x14ac:dyDescent="0.25">
      <c r="B101" s="6" t="s">
        <v>67</v>
      </c>
      <c r="C101" s="6">
        <v>72000</v>
      </c>
    </row>
    <row r="102" spans="1:14" x14ac:dyDescent="0.25">
      <c r="B102" s="6" t="s">
        <v>68</v>
      </c>
      <c r="C102" s="6">
        <v>62000</v>
      </c>
    </row>
    <row r="103" spans="1:14" x14ac:dyDescent="0.25">
      <c r="B103" s="6" t="s">
        <v>37</v>
      </c>
      <c r="C103" s="6">
        <v>41000</v>
      </c>
    </row>
    <row r="105" spans="1:14" x14ac:dyDescent="0.25">
      <c r="A105" t="s">
        <v>22</v>
      </c>
      <c r="B105" s="9" t="s">
        <v>33</v>
      </c>
      <c r="C105" s="9" t="s">
        <v>66</v>
      </c>
      <c r="D105" s="9" t="s">
        <v>11</v>
      </c>
    </row>
    <row r="106" spans="1:14" x14ac:dyDescent="0.25">
      <c r="B106" s="6" t="s">
        <v>39</v>
      </c>
      <c r="C106" s="6">
        <v>55000</v>
      </c>
      <c r="D106" s="6">
        <f>INDEX(C106:C109, MATCH(B107, B106:B109))</f>
        <v>72000</v>
      </c>
    </row>
    <row r="107" spans="1:14" x14ac:dyDescent="0.25">
      <c r="B107" s="6" t="s">
        <v>67</v>
      </c>
      <c r="C107" s="6">
        <v>72000</v>
      </c>
      <c r="D107" s="6"/>
    </row>
    <row r="108" spans="1:14" x14ac:dyDescent="0.25">
      <c r="B108" s="6" t="s">
        <v>68</v>
      </c>
      <c r="C108" s="6">
        <v>62000</v>
      </c>
      <c r="D108" s="6"/>
    </row>
    <row r="109" spans="1:14" x14ac:dyDescent="0.25">
      <c r="B109" s="6" t="s">
        <v>37</v>
      </c>
      <c r="C109" s="6">
        <v>41000</v>
      </c>
      <c r="D109" s="6"/>
    </row>
    <row r="111" spans="1:14" x14ac:dyDescent="0.25">
      <c r="A111" t="s">
        <v>69</v>
      </c>
      <c r="B111" t="s">
        <v>70</v>
      </c>
    </row>
    <row r="113" spans="1:14" x14ac:dyDescent="0.25">
      <c r="B113" s="9" t="s">
        <v>33</v>
      </c>
      <c r="C113" s="9" t="s">
        <v>35</v>
      </c>
    </row>
    <row r="114" spans="1:14" x14ac:dyDescent="0.25">
      <c r="B114" s="6" t="s">
        <v>36</v>
      </c>
      <c r="C114" s="6" t="s">
        <v>43</v>
      </c>
      <c r="M114" s="20"/>
      <c r="N114" s="17"/>
    </row>
    <row r="115" spans="1:14" x14ac:dyDescent="0.25">
      <c r="B115" s="6" t="s">
        <v>71</v>
      </c>
      <c r="C115" s="6" t="s">
        <v>42</v>
      </c>
      <c r="M115" s="19"/>
      <c r="N115" s="19"/>
    </row>
    <row r="116" spans="1:14" x14ac:dyDescent="0.25">
      <c r="B116" s="6" t="s">
        <v>68</v>
      </c>
      <c r="C116" s="6" t="s">
        <v>16</v>
      </c>
      <c r="M116" s="19"/>
      <c r="N116" s="19"/>
    </row>
    <row r="117" spans="1:14" x14ac:dyDescent="0.25">
      <c r="B117" s="6" t="s">
        <v>72</v>
      </c>
      <c r="C117" s="6" t="s">
        <v>44</v>
      </c>
      <c r="M117" s="19"/>
      <c r="N117" s="19"/>
    </row>
    <row r="118" spans="1:14" x14ac:dyDescent="0.25">
      <c r="M118" s="19"/>
      <c r="N118" s="19"/>
    </row>
    <row r="119" spans="1:14" x14ac:dyDescent="0.25">
      <c r="A119" t="s">
        <v>22</v>
      </c>
      <c r="B119" s="9" t="s">
        <v>33</v>
      </c>
      <c r="C119" s="9" t="s">
        <v>35</v>
      </c>
      <c r="D119" s="9" t="s">
        <v>11</v>
      </c>
    </row>
    <row r="120" spans="1:14" x14ac:dyDescent="0.25">
      <c r="B120" s="6" t="s">
        <v>36</v>
      </c>
      <c r="C120" s="6" t="s">
        <v>43</v>
      </c>
      <c r="D120" s="6" t="str">
        <f>_xlfn.XLOOKUP(B121,B120:B123,C120:C123)</f>
        <v>IT</v>
      </c>
    </row>
    <row r="121" spans="1:14" x14ac:dyDescent="0.25">
      <c r="B121" s="6" t="s">
        <v>71</v>
      </c>
      <c r="C121" s="6" t="s">
        <v>42</v>
      </c>
      <c r="D121" s="6"/>
    </row>
    <row r="122" spans="1:14" x14ac:dyDescent="0.25">
      <c r="B122" s="6" t="s">
        <v>68</v>
      </c>
      <c r="C122" s="6" t="s">
        <v>16</v>
      </c>
      <c r="D122" s="6"/>
    </row>
    <row r="123" spans="1:14" x14ac:dyDescent="0.25">
      <c r="B123" s="6" t="s">
        <v>72</v>
      </c>
      <c r="C123" s="6" t="s">
        <v>44</v>
      </c>
      <c r="D123" s="6"/>
    </row>
    <row r="125" spans="1:14" x14ac:dyDescent="0.25">
      <c r="B125" s="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2025-12-20T14:16:23Z</dcterms:created>
  <dcterms:modified xsi:type="dcterms:W3CDTF">2025-12-22T03:00:11Z</dcterms:modified>
</cp:coreProperties>
</file>